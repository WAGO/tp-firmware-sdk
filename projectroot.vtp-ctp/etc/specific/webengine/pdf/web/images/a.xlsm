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DieseArbeitsmappe"/>
  <mc:AlternateContent xmlns:mc="http://schemas.openxmlformats.org/markup-compatibility/2006">
    <mc:Choice Requires="x15">
      <x15ac:absPath xmlns:x15ac="http://schemas.microsoft.com/office/spreadsheetml/2010/11/ac" url="T:\01-T\04-Allgemein\10_Zeiterfassung\2018\Nething-Nicoleta\"/>
    </mc:Choice>
  </mc:AlternateContent>
  <xr:revisionPtr revIDLastSave="0" documentId="13_ncr:1_{92FEE648-829E-4811-9252-1AF422DB5EBE}" xr6:coauthVersionLast="31" xr6:coauthVersionMax="31" xr10:uidLastSave="{00000000-0000-0000-0000-000000000000}"/>
  <bookViews>
    <workbookView xWindow="0" yWindow="0" windowWidth="28800" windowHeight="13350" tabRatio="718" xr2:uid="{00000000-000D-0000-FFFF-FFFF00000000}"/>
  </bookViews>
  <sheets>
    <sheet name="Eintrag" sheetId="1" r:id="rId1"/>
    <sheet name="ProjekteAP" sheetId="14" r:id="rId2"/>
    <sheet name="Ausdruck (Zeit)" sheetId="4" r:id="rId3"/>
    <sheet name="Mitarbeiter" sheetId="9" r:id="rId4"/>
    <sheet name="Monate" sheetId="15" r:id="rId5"/>
  </sheets>
  <definedNames>
    <definedName name="_xlnm._FilterDatabase" localSheetId="0" hidden="1">Eintrag!#REF!</definedName>
    <definedName name="ap">OFFSET(ProjekteAP!XFD$2:XFD$1000,0,MATCH(Eintrag!XFD1,ProjekteAP!$1:$1,0)-1)</definedName>
    <definedName name="ap_ohneleer">OFFSET(ap,0,0,COUNTA(ap))</definedName>
    <definedName name="_xlnm.Print_Area" localSheetId="2">'Ausdruck (Zeit)'!$A$1:$L$38</definedName>
    <definedName name="Monate">Monate!$A$3:$A$14</definedName>
  </definedNames>
  <calcPr calcId="179017"/>
</workbook>
</file>

<file path=xl/calcChain.xml><?xml version="1.0" encoding="utf-8"?>
<calcChain xmlns="http://schemas.openxmlformats.org/spreadsheetml/2006/main">
  <c r="AJ17" i="1" l="1"/>
  <c r="AJ18" i="1"/>
  <c r="AJ19" i="1"/>
  <c r="AJ20" i="1"/>
  <c r="AJ21" i="1"/>
  <c r="AJ22" i="1"/>
  <c r="AJ23" i="1"/>
  <c r="AJ24" i="1"/>
  <c r="AJ25" i="1"/>
  <c r="AJ26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E8" i="1" l="1"/>
  <c r="AC5" i="1" l="1"/>
  <c r="AC6" i="1" s="1"/>
  <c r="AJ15" i="1" l="1"/>
  <c r="AJ16" i="1"/>
  <c r="M5" i="1" l="1"/>
  <c r="K5" i="1"/>
  <c r="L5" i="1"/>
  <c r="D8" i="1" l="1"/>
  <c r="AH8" i="1" l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M6" i="1" s="1"/>
  <c r="M7" i="1" s="1"/>
  <c r="L8" i="1"/>
  <c r="L6" i="1" s="1"/>
  <c r="L7" i="1" s="1"/>
  <c r="K8" i="1"/>
  <c r="J8" i="1"/>
  <c r="I8" i="1"/>
  <c r="H8" i="1"/>
  <c r="G8" i="1"/>
  <c r="AH35" i="1" l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AI14" i="1" l="1"/>
  <c r="AJ14" i="1" s="1"/>
  <c r="AJ27" i="1" l="1"/>
  <c r="F8" i="1"/>
  <c r="AK22" i="1" l="1"/>
  <c r="AK23" i="1"/>
  <c r="AK24" i="1"/>
  <c r="AK17" i="1"/>
  <c r="AK25" i="1"/>
  <c r="AK18" i="1"/>
  <c r="AK26" i="1"/>
  <c r="AK20" i="1"/>
  <c r="AK21" i="1"/>
  <c r="AK19" i="1"/>
  <c r="AK16" i="1"/>
  <c r="AK15" i="1"/>
  <c r="AK14" i="1"/>
  <c r="D5" i="1" l="1"/>
  <c r="AH30" i="1" l="1"/>
  <c r="AG30" i="1"/>
  <c r="AF30" i="1"/>
  <c r="AE30" i="1"/>
  <c r="AD30" i="1"/>
  <c r="AH29" i="1"/>
  <c r="AG29" i="1"/>
  <c r="AF29" i="1"/>
  <c r="AE29" i="1"/>
  <c r="AD29" i="1"/>
  <c r="AA30" i="1"/>
  <c r="Z30" i="1"/>
  <c r="Y30" i="1"/>
  <c r="X30" i="1"/>
  <c r="W30" i="1"/>
  <c r="AA29" i="1"/>
  <c r="Z29" i="1"/>
  <c r="Y29" i="1"/>
  <c r="X29" i="1"/>
  <c r="W29" i="1"/>
  <c r="T30" i="1"/>
  <c r="S30" i="1"/>
  <c r="P30" i="1"/>
  <c r="T29" i="1"/>
  <c r="S29" i="1"/>
  <c r="R29" i="1"/>
  <c r="Q29" i="1"/>
  <c r="P29" i="1"/>
  <c r="M30" i="1"/>
  <c r="L30" i="1"/>
  <c r="M29" i="1"/>
  <c r="L29" i="1"/>
  <c r="K30" i="1"/>
  <c r="J30" i="1"/>
  <c r="I30" i="1"/>
  <c r="K29" i="1"/>
  <c r="J29" i="1"/>
  <c r="I29" i="1"/>
  <c r="E29" i="1"/>
  <c r="F29" i="1"/>
  <c r="E30" i="1"/>
  <c r="F30" i="1"/>
  <c r="R30" i="1" l="1"/>
  <c r="Q30" i="1"/>
  <c r="D30" i="1" l="1"/>
  <c r="D6" i="1"/>
  <c r="D27" i="1" l="1"/>
  <c r="AC30" i="1" l="1"/>
  <c r="AB30" i="1"/>
  <c r="V30" i="1"/>
  <c r="U30" i="1"/>
  <c r="O30" i="1"/>
  <c r="N30" i="1"/>
  <c r="H30" i="1"/>
  <c r="AC29" i="1"/>
  <c r="AB29" i="1"/>
  <c r="V29" i="1"/>
  <c r="U29" i="1"/>
  <c r="O29" i="1"/>
  <c r="N29" i="1"/>
  <c r="H29" i="1"/>
  <c r="G37" i="4"/>
  <c r="G35" i="4"/>
  <c r="G34" i="4"/>
  <c r="G33" i="4"/>
  <c r="G32" i="4"/>
  <c r="G31" i="4"/>
  <c r="G30" i="4"/>
  <c r="G29" i="4"/>
  <c r="G28" i="4"/>
  <c r="G27" i="4"/>
  <c r="G26" i="4"/>
  <c r="G25" i="4"/>
  <c r="G23" i="4"/>
  <c r="G22" i="4"/>
  <c r="G21" i="4"/>
  <c r="G19" i="4"/>
  <c r="G18" i="4"/>
  <c r="G17" i="4"/>
  <c r="G16" i="4"/>
  <c r="G15" i="4"/>
  <c r="G14" i="4"/>
  <c r="G13" i="4"/>
  <c r="G12" i="4"/>
  <c r="G11" i="4"/>
  <c r="G10" i="4"/>
  <c r="G9" i="4"/>
  <c r="AH5" i="1"/>
  <c r="AG5" i="1"/>
  <c r="AG6" i="1" s="1"/>
  <c r="AF5" i="1"/>
  <c r="AF6" i="1" s="1"/>
  <c r="AE5" i="1"/>
  <c r="AE6" i="1" s="1"/>
  <c r="AD5" i="1"/>
  <c r="AD6" i="1" s="1"/>
  <c r="AB5" i="1"/>
  <c r="AB6" i="1" s="1"/>
  <c r="AA5" i="1"/>
  <c r="AA6" i="1" s="1"/>
  <c r="Z5" i="1"/>
  <c r="Z6" i="1" s="1"/>
  <c r="Y5" i="1"/>
  <c r="Y6" i="1" s="1"/>
  <c r="X5" i="1"/>
  <c r="X6" i="1" s="1"/>
  <c r="W5" i="1"/>
  <c r="W6" i="1" s="1"/>
  <c r="V5" i="1"/>
  <c r="V6" i="1" s="1"/>
  <c r="U5" i="1"/>
  <c r="U6" i="1" s="1"/>
  <c r="T5" i="1"/>
  <c r="T6" i="1" s="1"/>
  <c r="S5" i="1"/>
  <c r="S6" i="1" s="1"/>
  <c r="R5" i="1"/>
  <c r="R6" i="1" s="1"/>
  <c r="Q5" i="1"/>
  <c r="Q6" i="1" s="1"/>
  <c r="P5" i="1"/>
  <c r="P6" i="1" s="1"/>
  <c r="O5" i="1"/>
  <c r="N5" i="1"/>
  <c r="N6" i="1" s="1"/>
  <c r="K6" i="1"/>
  <c r="J5" i="1"/>
  <c r="J6" i="1" s="1"/>
  <c r="I5" i="1"/>
  <c r="I6" i="1" s="1"/>
  <c r="H5" i="1"/>
  <c r="H6" i="1" s="1"/>
  <c r="G5" i="1"/>
  <c r="G6" i="1" s="1"/>
  <c r="F5" i="1"/>
  <c r="F6" i="1" s="1"/>
  <c r="E5" i="1"/>
  <c r="E6" i="1" s="1"/>
  <c r="G36" i="4"/>
  <c r="G24" i="4"/>
  <c r="G20" i="4"/>
  <c r="G8" i="4"/>
  <c r="G7" i="4"/>
  <c r="G29" i="1"/>
  <c r="D29" i="1"/>
  <c r="H7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L3" i="4"/>
  <c r="K2" i="4"/>
  <c r="E8" i="4"/>
  <c r="L38" i="4"/>
  <c r="E37" i="4"/>
  <c r="D37" i="4"/>
  <c r="C37" i="4"/>
  <c r="E36" i="4"/>
  <c r="D36" i="4"/>
  <c r="C36" i="4"/>
  <c r="E35" i="4"/>
  <c r="D35" i="4"/>
  <c r="C35" i="4"/>
  <c r="E34" i="4"/>
  <c r="D34" i="4"/>
  <c r="C34" i="4"/>
  <c r="E33" i="4"/>
  <c r="D33" i="4"/>
  <c r="C33" i="4"/>
  <c r="E32" i="4"/>
  <c r="D32" i="4"/>
  <c r="C32" i="4"/>
  <c r="E31" i="4"/>
  <c r="D31" i="4"/>
  <c r="C31" i="4"/>
  <c r="E30" i="4"/>
  <c r="D30" i="4"/>
  <c r="C30" i="4"/>
  <c r="E29" i="4"/>
  <c r="D29" i="4"/>
  <c r="C29" i="4"/>
  <c r="E28" i="4"/>
  <c r="D28" i="4"/>
  <c r="C28" i="4"/>
  <c r="E27" i="4"/>
  <c r="D27" i="4"/>
  <c r="C27" i="4"/>
  <c r="E26" i="4"/>
  <c r="D26" i="4"/>
  <c r="C26" i="4"/>
  <c r="E25" i="4"/>
  <c r="D25" i="4"/>
  <c r="C25" i="4"/>
  <c r="E24" i="4"/>
  <c r="D24" i="4"/>
  <c r="C24" i="4"/>
  <c r="E23" i="4"/>
  <c r="D23" i="4"/>
  <c r="C23" i="4"/>
  <c r="E22" i="4"/>
  <c r="D22" i="4"/>
  <c r="C22" i="4"/>
  <c r="E21" i="4"/>
  <c r="D21" i="4"/>
  <c r="C21" i="4"/>
  <c r="E20" i="4"/>
  <c r="D20" i="4"/>
  <c r="C20" i="4"/>
  <c r="E19" i="4"/>
  <c r="D19" i="4"/>
  <c r="C19" i="4"/>
  <c r="E18" i="4"/>
  <c r="D18" i="4"/>
  <c r="C18" i="4"/>
  <c r="E17" i="4"/>
  <c r="D17" i="4"/>
  <c r="C17" i="4"/>
  <c r="E16" i="4"/>
  <c r="D16" i="4"/>
  <c r="C16" i="4"/>
  <c r="E15" i="4"/>
  <c r="D15" i="4"/>
  <c r="C15" i="4"/>
  <c r="E14" i="4"/>
  <c r="D14" i="4"/>
  <c r="C14" i="4"/>
  <c r="E13" i="4"/>
  <c r="D13" i="4"/>
  <c r="C13" i="4"/>
  <c r="E12" i="4"/>
  <c r="D12" i="4"/>
  <c r="C12" i="4"/>
  <c r="E11" i="4"/>
  <c r="D11" i="4"/>
  <c r="C11" i="4"/>
  <c r="E10" i="4"/>
  <c r="D10" i="4"/>
  <c r="C10" i="4"/>
  <c r="E9" i="4"/>
  <c r="D9" i="4"/>
  <c r="C9" i="4"/>
  <c r="D8" i="4"/>
  <c r="C8" i="4"/>
  <c r="E7" i="4"/>
  <c r="D7" i="4"/>
  <c r="C7" i="4"/>
  <c r="F2" i="4"/>
  <c r="K6" i="4"/>
  <c r="D1" i="1"/>
  <c r="B7" i="4" s="1"/>
  <c r="E1" i="1"/>
  <c r="B8" i="4" s="1"/>
  <c r="F1" i="1"/>
  <c r="B9" i="4" s="1"/>
  <c r="G1" i="1"/>
  <c r="B10" i="4" s="1"/>
  <c r="H1" i="1"/>
  <c r="B11" i="4" s="1"/>
  <c r="I1" i="1"/>
  <c r="B12" i="4" s="1"/>
  <c r="J1" i="1"/>
  <c r="B13" i="4" s="1"/>
  <c r="K1" i="1"/>
  <c r="B14" i="4" s="1"/>
  <c r="L1" i="1"/>
  <c r="B15" i="4" s="1"/>
  <c r="M1" i="1"/>
  <c r="B16" i="4" s="1"/>
  <c r="N1" i="1"/>
  <c r="B17" i="4" s="1"/>
  <c r="O1" i="1"/>
  <c r="B18" i="4" s="1"/>
  <c r="P1" i="1"/>
  <c r="B19" i="4" s="1"/>
  <c r="Q1" i="1"/>
  <c r="B20" i="4" s="1"/>
  <c r="R1" i="1"/>
  <c r="B21" i="4" s="1"/>
  <c r="S1" i="1"/>
  <c r="B22" i="4" s="1"/>
  <c r="T1" i="1"/>
  <c r="B23" i="4" s="1"/>
  <c r="U1" i="1"/>
  <c r="B24" i="4" s="1"/>
  <c r="V1" i="1"/>
  <c r="B25" i="4" s="1"/>
  <c r="W1" i="1"/>
  <c r="B26" i="4" s="1"/>
  <c r="X1" i="1"/>
  <c r="B27" i="4" s="1"/>
  <c r="Y1" i="1"/>
  <c r="B28" i="4" s="1"/>
  <c r="Z1" i="1"/>
  <c r="B29" i="4" s="1"/>
  <c r="AA1" i="1"/>
  <c r="B30" i="4" s="1"/>
  <c r="AB1" i="1"/>
  <c r="B31" i="4" s="1"/>
  <c r="AC1" i="1"/>
  <c r="B32" i="4" s="1"/>
  <c r="AD1" i="1"/>
  <c r="B33" i="4" s="1"/>
  <c r="AE1" i="1"/>
  <c r="B34" i="4" s="1"/>
  <c r="AF1" i="1"/>
  <c r="B35" i="4" s="1"/>
  <c r="AG1" i="1"/>
  <c r="B36" i="4" s="1"/>
  <c r="AH1" i="1"/>
  <c r="B37" i="4" s="1"/>
  <c r="J8" i="4"/>
  <c r="G30" i="1"/>
  <c r="F27" i="4" l="1"/>
  <c r="AI30" i="1"/>
  <c r="AI29" i="1"/>
  <c r="F18" i="4"/>
  <c r="O6" i="1"/>
  <c r="O27" i="1" s="1"/>
  <c r="AB27" i="1"/>
  <c r="AC27" i="1"/>
  <c r="N27" i="1"/>
  <c r="F35" i="4"/>
  <c r="AF27" i="1"/>
  <c r="AG27" i="1"/>
  <c r="AH6" i="1"/>
  <c r="U27" i="1"/>
  <c r="V27" i="1"/>
  <c r="H27" i="1"/>
  <c r="D7" i="1"/>
  <c r="K27" i="1"/>
  <c r="M27" i="1"/>
  <c r="AD27" i="1"/>
  <c r="AE27" i="1"/>
  <c r="P27" i="1"/>
  <c r="Q27" i="1"/>
  <c r="R27" i="1"/>
  <c r="S27" i="1"/>
  <c r="T27" i="1"/>
  <c r="W27" i="1"/>
  <c r="X27" i="1"/>
  <c r="I27" i="1"/>
  <c r="Y27" i="1"/>
  <c r="J27" i="1"/>
  <c r="Z27" i="1"/>
  <c r="F9" i="4"/>
  <c r="AA27" i="1"/>
  <c r="L27" i="1"/>
  <c r="F8" i="4"/>
  <c r="F14" i="4"/>
  <c r="F28" i="4"/>
  <c r="F23" i="4"/>
  <c r="F21" i="4"/>
  <c r="F12" i="4"/>
  <c r="F10" i="4"/>
  <c r="F16" i="4"/>
  <c r="F31" i="4"/>
  <c r="F30" i="4"/>
  <c r="F17" i="4"/>
  <c r="F24" i="4"/>
  <c r="F25" i="4"/>
  <c r="F15" i="4"/>
  <c r="F26" i="4"/>
  <c r="F29" i="4"/>
  <c r="F37" i="4"/>
  <c r="F11" i="4"/>
  <c r="F32" i="4"/>
  <c r="F20" i="4"/>
  <c r="F36" i="4"/>
  <c r="F19" i="4"/>
  <c r="I36" i="4"/>
  <c r="F7" i="4"/>
  <c r="F13" i="4"/>
  <c r="F33" i="4"/>
  <c r="I35" i="4"/>
  <c r="F34" i="4"/>
  <c r="F22" i="4"/>
  <c r="AJ35" i="1"/>
  <c r="D28" i="1" l="1"/>
  <c r="D31" i="1" s="1"/>
  <c r="D32" i="1" s="1"/>
  <c r="D34" i="1"/>
  <c r="E27" i="1"/>
  <c r="F27" i="1"/>
  <c r="I37" i="4"/>
  <c r="AH27" i="1"/>
  <c r="U7" i="1"/>
  <c r="AC7" i="1"/>
  <c r="G7" i="1"/>
  <c r="G34" i="1" s="1"/>
  <c r="G27" i="1"/>
  <c r="AG7" i="1"/>
  <c r="I32" i="4"/>
  <c r="AF7" i="1"/>
  <c r="I25" i="4"/>
  <c r="V7" i="1"/>
  <c r="I11" i="4"/>
  <c r="H7" i="1"/>
  <c r="AH7" i="1"/>
  <c r="I7" i="1"/>
  <c r="I34" i="1" s="1"/>
  <c r="I9" i="4"/>
  <c r="I13" i="4"/>
  <c r="I20" i="4"/>
  <c r="I33" i="4"/>
  <c r="K7" i="1"/>
  <c r="E7" i="1"/>
  <c r="O7" i="1"/>
  <c r="I27" i="4"/>
  <c r="Z7" i="1"/>
  <c r="Q7" i="1"/>
  <c r="AE7" i="1"/>
  <c r="X7" i="1"/>
  <c r="J27" i="4" s="1"/>
  <c r="AD7" i="1"/>
  <c r="I18" i="4"/>
  <c r="J7" i="1"/>
  <c r="L34" i="1"/>
  <c r="W7" i="1"/>
  <c r="AA7" i="1"/>
  <c r="F7" i="1"/>
  <c r="F34" i="1" s="1"/>
  <c r="I15" i="4"/>
  <c r="I30" i="4"/>
  <c r="Y7" i="1"/>
  <c r="T7" i="1"/>
  <c r="P7" i="1"/>
  <c r="S7" i="1"/>
  <c r="I14" i="4"/>
  <c r="I22" i="4"/>
  <c r="I23" i="4"/>
  <c r="R7" i="1"/>
  <c r="I21" i="4"/>
  <c r="J7" i="4"/>
  <c r="D33" i="1"/>
  <c r="I7" i="4"/>
  <c r="I12" i="4"/>
  <c r="I26" i="4"/>
  <c r="I28" i="4"/>
  <c r="AB7" i="1"/>
  <c r="I24" i="4"/>
  <c r="I19" i="4"/>
  <c r="I31" i="4"/>
  <c r="I10" i="4"/>
  <c r="I8" i="4"/>
  <c r="I29" i="4"/>
  <c r="I34" i="4"/>
  <c r="I16" i="4"/>
  <c r="I17" i="4"/>
  <c r="N7" i="1"/>
  <c r="AH28" i="1" l="1"/>
  <c r="AH31" i="1" s="1"/>
  <c r="AH32" i="1" s="1"/>
  <c r="AH34" i="1"/>
  <c r="T28" i="1"/>
  <c r="T34" i="1"/>
  <c r="AB28" i="1"/>
  <c r="AB31" i="1" s="1"/>
  <c r="AB32" i="1" s="1"/>
  <c r="AB34" i="1"/>
  <c r="AD28" i="1"/>
  <c r="AD31" i="1" s="1"/>
  <c r="AD32" i="1" s="1"/>
  <c r="AD34" i="1"/>
  <c r="S28" i="1"/>
  <c r="S31" i="1" s="1"/>
  <c r="S32" i="1" s="1"/>
  <c r="S34" i="1"/>
  <c r="W28" i="1"/>
  <c r="W31" i="1" s="1"/>
  <c r="W32" i="1" s="1"/>
  <c r="W34" i="1"/>
  <c r="Z28" i="1"/>
  <c r="Z34" i="1"/>
  <c r="M28" i="1"/>
  <c r="M31" i="1" s="1"/>
  <c r="M32" i="1" s="1"/>
  <c r="M34" i="1"/>
  <c r="AF28" i="1"/>
  <c r="AF31" i="1" s="1"/>
  <c r="AF32" i="1" s="1"/>
  <c r="AF34" i="1"/>
  <c r="AG28" i="1"/>
  <c r="AG31" i="1" s="1"/>
  <c r="AG32" i="1" s="1"/>
  <c r="AG34" i="1"/>
  <c r="Y28" i="1"/>
  <c r="Y34" i="1"/>
  <c r="E28" i="1"/>
  <c r="E31" i="1" s="1"/>
  <c r="E32" i="1" s="1"/>
  <c r="E34" i="1"/>
  <c r="O28" i="1"/>
  <c r="O31" i="1" s="1"/>
  <c r="O32" i="1" s="1"/>
  <c r="O34" i="1"/>
  <c r="R28" i="1"/>
  <c r="R31" i="1" s="1"/>
  <c r="R32" i="1" s="1"/>
  <c r="R34" i="1"/>
  <c r="K28" i="1"/>
  <c r="K31" i="1" s="1"/>
  <c r="K32" i="1" s="1"/>
  <c r="K34" i="1"/>
  <c r="X28" i="1"/>
  <c r="X31" i="1" s="1"/>
  <c r="X32" i="1" s="1"/>
  <c r="X34" i="1"/>
  <c r="AC33" i="1"/>
  <c r="AC34" i="1"/>
  <c r="AE28" i="1"/>
  <c r="AE34" i="1"/>
  <c r="V28" i="1"/>
  <c r="V31" i="1" s="1"/>
  <c r="V32" i="1" s="1"/>
  <c r="V34" i="1"/>
  <c r="J24" i="4"/>
  <c r="U34" i="1"/>
  <c r="N28" i="1"/>
  <c r="N31" i="1" s="1"/>
  <c r="N32" i="1" s="1"/>
  <c r="N34" i="1"/>
  <c r="P28" i="1"/>
  <c r="P31" i="1" s="1"/>
  <c r="P32" i="1" s="1"/>
  <c r="P34" i="1"/>
  <c r="J28" i="1"/>
  <c r="J31" i="1" s="1"/>
  <c r="J32" i="1" s="1"/>
  <c r="J34" i="1"/>
  <c r="H28" i="1"/>
  <c r="H31" i="1" s="1"/>
  <c r="H32" i="1" s="1"/>
  <c r="H34" i="1"/>
  <c r="AA28" i="1"/>
  <c r="AA31" i="1" s="1"/>
  <c r="AA32" i="1" s="1"/>
  <c r="AA34" i="1"/>
  <c r="Q28" i="1"/>
  <c r="Q31" i="1" s="1"/>
  <c r="Q32" i="1" s="1"/>
  <c r="Q34" i="1"/>
  <c r="J14" i="4"/>
  <c r="J20" i="4"/>
  <c r="U33" i="1"/>
  <c r="J16" i="4"/>
  <c r="J12" i="4"/>
  <c r="I28" i="1"/>
  <c r="I31" i="1" s="1"/>
  <c r="I32" i="1" s="1"/>
  <c r="F28" i="1"/>
  <c r="F31" i="1" s="1"/>
  <c r="F32" i="1" s="1"/>
  <c r="G28" i="1"/>
  <c r="G31" i="1" s="1"/>
  <c r="G33" i="1"/>
  <c r="K10" i="4" s="1"/>
  <c r="L28" i="1"/>
  <c r="L31" i="1" s="1"/>
  <c r="L32" i="1" s="1"/>
  <c r="V33" i="1"/>
  <c r="H33" i="1"/>
  <c r="J11" i="4"/>
  <c r="J25" i="4"/>
  <c r="J32" i="4"/>
  <c r="AC28" i="1"/>
  <c r="AC31" i="1" s="1"/>
  <c r="AC32" i="1" s="1"/>
  <c r="U28" i="1"/>
  <c r="U31" i="1" s="1"/>
  <c r="U32" i="1" s="1"/>
  <c r="AI27" i="1"/>
  <c r="E33" i="1"/>
  <c r="J19" i="4"/>
  <c r="J9" i="4"/>
  <c r="I33" i="1"/>
  <c r="J18" i="4"/>
  <c r="AH33" i="1"/>
  <c r="J13" i="4"/>
  <c r="J33" i="4"/>
  <c r="K33" i="1"/>
  <c r="J10" i="4"/>
  <c r="AF33" i="1"/>
  <c r="J35" i="4"/>
  <c r="J30" i="4"/>
  <c r="J15" i="4"/>
  <c r="M33" i="1"/>
  <c r="O33" i="1"/>
  <c r="AG33" i="1"/>
  <c r="J36" i="4"/>
  <c r="K7" i="4"/>
  <c r="X33" i="1"/>
  <c r="P33" i="1"/>
  <c r="F33" i="1"/>
  <c r="T33" i="1"/>
  <c r="AE33" i="1"/>
  <c r="J28" i="4"/>
  <c r="Y33" i="1"/>
  <c r="Q33" i="1"/>
  <c r="AA33" i="1"/>
  <c r="W33" i="1"/>
  <c r="J26" i="4"/>
  <c r="R33" i="1"/>
  <c r="L33" i="1"/>
  <c r="J33" i="1"/>
  <c r="S33" i="1"/>
  <c r="Z33" i="1"/>
  <c r="AD33" i="1"/>
  <c r="J22" i="4"/>
  <c r="D37" i="1"/>
  <c r="J21" i="4"/>
  <c r="J37" i="4"/>
  <c r="J31" i="4"/>
  <c r="J23" i="4"/>
  <c r="AB33" i="1"/>
  <c r="J17" i="4"/>
  <c r="J34" i="4"/>
  <c r="J29" i="4"/>
  <c r="N33" i="1"/>
  <c r="K31" i="4" l="1"/>
  <c r="K24" i="4"/>
  <c r="AI34" i="1"/>
  <c r="K16" i="4"/>
  <c r="K14" i="4"/>
  <c r="K32" i="4"/>
  <c r="K27" i="4"/>
  <c r="K8" i="4"/>
  <c r="G32" i="1"/>
  <c r="K11" i="4"/>
  <c r="K12" i="4"/>
  <c r="K25" i="4"/>
  <c r="K19" i="4"/>
  <c r="K15" i="4"/>
  <c r="K18" i="4"/>
  <c r="K23" i="4"/>
  <c r="K22" i="4"/>
  <c r="K30" i="4"/>
  <c r="K36" i="4"/>
  <c r="K13" i="4"/>
  <c r="K35" i="4"/>
  <c r="AI28" i="1"/>
  <c r="K28" i="4"/>
  <c r="K20" i="4"/>
  <c r="K9" i="4"/>
  <c r="K26" i="4"/>
  <c r="K33" i="4"/>
  <c r="AE31" i="1"/>
  <c r="AE32" i="1" s="1"/>
  <c r="Z31" i="1"/>
  <c r="Z32" i="1" s="1"/>
  <c r="Y31" i="1"/>
  <c r="Y32" i="1" s="1"/>
  <c r="T31" i="1"/>
  <c r="T32" i="1" s="1"/>
  <c r="K21" i="4"/>
  <c r="K37" i="4"/>
  <c r="AI33" i="1"/>
  <c r="K34" i="4"/>
  <c r="K29" i="4"/>
  <c r="K17" i="4"/>
  <c r="E37" i="1"/>
  <c r="F37" i="1" s="1"/>
  <c r="G37" i="1" l="1"/>
  <c r="H37" i="1" s="1"/>
  <c r="I37" i="1" s="1"/>
  <c r="J37" i="1" s="1"/>
  <c r="K37" i="1" s="1"/>
  <c r="L37" i="1" s="1"/>
  <c r="M37" i="1" s="1"/>
  <c r="N37" i="1" s="1"/>
  <c r="O37" i="1" s="1"/>
  <c r="P37" i="1" s="1"/>
  <c r="Q37" i="1" s="1"/>
  <c r="R37" i="1" s="1"/>
  <c r="S37" i="1" s="1"/>
  <c r="T37" i="1" s="1"/>
  <c r="U37" i="1" s="1"/>
  <c r="V37" i="1" s="1"/>
  <c r="W37" i="1" s="1"/>
  <c r="X37" i="1" s="1"/>
  <c r="Y37" i="1" s="1"/>
  <c r="Z37" i="1" s="1"/>
  <c r="AA37" i="1" s="1"/>
  <c r="AB37" i="1" s="1"/>
  <c r="AC37" i="1" s="1"/>
  <c r="AD37" i="1" s="1"/>
  <c r="AE37" i="1" s="1"/>
  <c r="AF37" i="1" s="1"/>
  <c r="AG37" i="1" s="1"/>
  <c r="AH37" i="1" s="1"/>
  <c r="AI31" i="1"/>
  <c r="AJ32" i="1" s="1"/>
  <c r="AI32" i="1"/>
  <c r="AJ28" i="1"/>
  <c r="AJ34" i="1"/>
  <c r="AJ37" i="1" s="1"/>
  <c r="K38" i="4" s="1"/>
  <c r="J38" i="4" l="1"/>
  <c r="AK2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Westphal, Hans-Jürgen</author>
  </authors>
  <commentList>
    <comment ref="B4" authorId="0" shapeId="0" xr:uid="{00000000-0006-0000-0000-000001000000}">
      <text>
        <r>
          <rPr>
            <b/>
            <sz val="12"/>
            <color indexed="39"/>
            <rFont val="Arial"/>
            <family val="2"/>
          </rPr>
          <t xml:space="preserve">Eingabe von:
- "F" </t>
        </r>
        <r>
          <rPr>
            <sz val="12"/>
            <color indexed="39"/>
            <rFont val="Arial"/>
            <family val="2"/>
          </rPr>
          <t>-&gt;in Zeile 5 wird der Text "Feiertag" eingetragen     
          -&gt; und in die Text-Zeile "Urlaub" werden 8 Stunden eingetragen</t>
        </r>
        <r>
          <rPr>
            <b/>
            <sz val="12"/>
            <color indexed="39"/>
            <rFont val="Arial"/>
            <family val="2"/>
          </rPr>
          <t xml:space="preserve">
- "U"  </t>
        </r>
        <r>
          <rPr>
            <sz val="12"/>
            <color indexed="39"/>
            <rFont val="Arial"/>
            <family val="2"/>
          </rPr>
          <t>-&gt;in Zeile 5 wird der Text "Urlaub" eingetragen     
          -&gt; und in die Text-Zeile "</t>
        </r>
        <r>
          <rPr>
            <i/>
            <sz val="12"/>
            <color indexed="39"/>
            <rFont val="Arial"/>
            <family val="2"/>
          </rPr>
          <t>Urlaub</t>
        </r>
        <r>
          <rPr>
            <sz val="12"/>
            <color indexed="39"/>
            <rFont val="Arial"/>
            <family val="2"/>
          </rPr>
          <t>" werden 8 Stunden eingetragen</t>
        </r>
        <r>
          <rPr>
            <b/>
            <sz val="12"/>
            <color indexed="39"/>
            <rFont val="Arial"/>
            <family val="2"/>
          </rPr>
          <t xml:space="preserve">
- "G" </t>
        </r>
        <r>
          <rPr>
            <sz val="12"/>
            <color indexed="39"/>
            <rFont val="Arial"/>
            <family val="2"/>
          </rPr>
          <t>-&gt; in Zeile 5 wird der Text "Gleitag" eingetragen     
          -&gt; und in Text-Zeile "</t>
        </r>
        <r>
          <rPr>
            <i/>
            <sz val="12"/>
            <color indexed="39"/>
            <rFont val="Arial"/>
            <family val="2"/>
          </rPr>
          <t>Zeitausgleich</t>
        </r>
        <r>
          <rPr>
            <sz val="12"/>
            <color indexed="39"/>
            <rFont val="Arial"/>
            <family val="2"/>
          </rPr>
          <t xml:space="preserve">" werden 8 Stunden eingetragen
- </t>
        </r>
        <r>
          <rPr>
            <b/>
            <sz val="12"/>
            <color indexed="39"/>
            <rFont val="Arial"/>
            <family val="2"/>
          </rPr>
          <t>"K"</t>
        </r>
        <r>
          <rPr>
            <sz val="12"/>
            <color indexed="39"/>
            <rFont val="Arial"/>
            <family val="2"/>
          </rPr>
          <t xml:space="preserve"> -&gt; in Zeile 5 wird der Text "Krank" eingetragen
         -&gt; und in Text-Zeile "</t>
        </r>
        <r>
          <rPr>
            <i/>
            <sz val="12"/>
            <color indexed="39"/>
            <rFont val="Arial"/>
            <family val="2"/>
          </rPr>
          <t>Krank</t>
        </r>
        <r>
          <rPr>
            <sz val="12"/>
            <color indexed="39"/>
            <rFont val="Arial"/>
            <family val="2"/>
          </rPr>
          <t xml:space="preserve">" werden 8 Stunden eingetragen
" eingetragen     
           -&gt; und in Text-Zeile "Zeitausgleich" werden 8 Stunden eingetragen
</t>
        </r>
        <r>
          <rPr>
            <b/>
            <sz val="12"/>
            <color indexed="39"/>
            <rFont val="Arial"/>
            <family val="2"/>
          </rPr>
          <t xml:space="preserve">
- "F" </t>
        </r>
        <r>
          <rPr>
            <sz val="12"/>
            <color indexed="39"/>
            <rFont val="Arial"/>
            <family val="2"/>
          </rPr>
          <t xml:space="preserve">-&gt; in Zeile 5 wird der Text "Feiertag" eingetragen  </t>
        </r>
      </text>
    </comment>
    <comment ref="B7" authorId="0" shapeId="0" xr:uid="{00000000-0006-0000-0000-000002000000}">
      <text>
        <r>
          <rPr>
            <b/>
            <sz val="12"/>
            <color indexed="39"/>
            <rFont val="Arial"/>
            <family val="2"/>
          </rPr>
          <t>Wert ergibt sich aus Stempelzeit abzgl. Regelpausenzeit+weitere Abwesenheit</t>
        </r>
        <r>
          <rPr>
            <sz val="12"/>
            <color indexed="39"/>
            <rFont val="Arial"/>
            <family val="2"/>
          </rPr>
          <t xml:space="preserve">
</t>
        </r>
      </text>
    </comment>
    <comment ref="AI8" authorId="1" shapeId="0" xr:uid="{00000000-0006-0000-0000-000003000000}">
      <text>
        <r>
          <rPr>
            <b/>
            <sz val="12"/>
            <color indexed="39"/>
            <rFont val="Arial"/>
            <family val="2"/>
          </rPr>
          <t>MA-bezogene 
Standard Pausenzeit 
als</t>
        </r>
        <r>
          <rPr>
            <sz val="12"/>
            <color indexed="39"/>
            <rFont val="Arial"/>
            <family val="2"/>
          </rPr>
          <t xml:space="preserve">
"Texteingabe" in Std:Min
z.B. '0:45 ; '0:60; '1:15
</t>
        </r>
      </text>
    </comment>
    <comment ref="AJ8" authorId="1" shapeId="0" xr:uid="{00000000-0006-0000-0000-000004000000}">
      <text>
        <r>
          <rPr>
            <b/>
            <sz val="12"/>
            <color indexed="39"/>
            <rFont val="Arial"/>
            <family val="2"/>
          </rPr>
          <t>MA-bezogene 
Standard Pausenzeit 
als</t>
        </r>
        <r>
          <rPr>
            <sz val="12"/>
            <color indexed="39"/>
            <rFont val="Arial"/>
            <family val="2"/>
          </rPr>
          <t xml:space="preserve">
"Texteingabe" in Std:Min
z.B. '0:45 ; '0:60; '1:15
</t>
        </r>
      </text>
    </comment>
    <comment ref="B9" authorId="0" shapeId="0" xr:uid="{00000000-0006-0000-0000-000005000000}">
      <text>
        <r>
          <rPr>
            <b/>
            <sz val="12"/>
            <color indexed="39"/>
            <rFont val="Arial"/>
            <family val="2"/>
          </rPr>
          <t>zusätzliche Abwesenheit</t>
        </r>
        <r>
          <rPr>
            <sz val="12"/>
            <color indexed="39"/>
            <rFont val="Arial"/>
            <family val="2"/>
          </rPr>
          <t xml:space="preserve"> 
als
"Texteingabe" in Std:Min
z.B. '0:30 ; '2:00</t>
        </r>
      </text>
    </comment>
    <comment ref="B27" authorId="0" shapeId="0" xr:uid="{00000000-0006-0000-0000-000006000000}">
      <text>
        <r>
          <rPr>
            <b/>
            <sz val="12"/>
            <color indexed="12"/>
            <rFont val="Arial"/>
            <family val="2"/>
          </rPr>
          <t>Stundensumme für Daueraufgaben+Projekte</t>
        </r>
      </text>
    </comment>
    <comment ref="B28" authorId="0" shapeId="0" xr:uid="{00000000-0006-0000-0000-000007000000}">
      <text>
        <r>
          <rPr>
            <b/>
            <sz val="12"/>
            <color indexed="39"/>
            <rFont val="Arial"/>
            <family val="2"/>
          </rPr>
          <t>Anzurechnende Zeit (Zeile7)
abzügl. Projektzeit
(Daueraufgaben+Projekte)</t>
        </r>
      </text>
    </comment>
    <comment ref="B29" authorId="0" shapeId="0" xr:uid="{00000000-0006-0000-0000-000008000000}">
      <text>
        <r>
          <rPr>
            <b/>
            <sz val="12"/>
            <color indexed="39"/>
            <rFont val="Arial"/>
            <family val="2"/>
          </rPr>
          <t>die Stunden eintragen</t>
        </r>
        <r>
          <rPr>
            <sz val="12"/>
            <color indexed="39"/>
            <rFont val="Arial"/>
            <family val="2"/>
          </rPr>
          <t xml:space="preserve">
</t>
        </r>
      </text>
    </comment>
    <comment ref="B33" authorId="0" shapeId="0" xr:uid="{00000000-0006-0000-0000-000009000000}">
      <text>
        <r>
          <rPr>
            <b/>
            <sz val="12"/>
            <color indexed="39"/>
            <rFont val="Arial"/>
            <family val="2"/>
          </rPr>
          <t xml:space="preserve">Zeit, die </t>
        </r>
        <r>
          <rPr>
            <b/>
            <u/>
            <sz val="12"/>
            <color indexed="39"/>
            <rFont val="Arial"/>
            <family val="2"/>
          </rPr>
          <t>über</t>
        </r>
        <r>
          <rPr>
            <b/>
            <sz val="12"/>
            <color indexed="39"/>
            <rFont val="Arial"/>
            <family val="2"/>
          </rPr>
          <t xml:space="preserve"> der täglichen Regelarbeitszeit liegt</t>
        </r>
      </text>
    </comment>
    <comment ref="B34" authorId="0" shapeId="0" xr:uid="{00000000-0006-0000-0000-00000A000000}">
      <text>
        <r>
          <rPr>
            <b/>
            <sz val="12"/>
            <color indexed="39"/>
            <rFont val="Arial"/>
            <family val="2"/>
          </rPr>
          <t xml:space="preserve">Zeit, die </t>
        </r>
        <r>
          <rPr>
            <b/>
            <u/>
            <sz val="12"/>
            <color indexed="39"/>
            <rFont val="Arial"/>
            <family val="2"/>
          </rPr>
          <t xml:space="preserve">unter </t>
        </r>
        <r>
          <rPr>
            <b/>
            <sz val="12"/>
            <color indexed="39"/>
            <rFont val="Arial"/>
            <family val="2"/>
          </rPr>
          <t>der täglichen Regelarbeitszeit liegt</t>
        </r>
        <r>
          <rPr>
            <sz val="12"/>
            <color indexed="39"/>
            <rFont val="Arial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mitarbeiter" description="Verbindung mit der Abfrage 'mitarbeiter' in der Arbeitsmappe." type="5" refreshedVersion="0" background="1">
    <dbPr connection="Provider=Microsoft.Mashup.OleDb.1;Data Source=$Workbook$;Location=mitarbeiter;Extended Properties=&quot;&quot;" command="SELECT * FROM [mitarbeiter]"/>
  </connection>
</connections>
</file>

<file path=xl/sharedStrings.xml><?xml version="1.0" encoding="utf-8"?>
<sst xmlns="http://schemas.openxmlformats.org/spreadsheetml/2006/main" count="1481" uniqueCount="1187">
  <si>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</si>
  <si>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</si>
  <si>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</si>
  <si>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</si>
  <si>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</si>
  <si>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</si>
  <si>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</si>
  <si>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</si>
  <si>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</si>
  <si>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</si>
  <si>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</si>
  <si>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</si>
  <si>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</si>
  <si>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</si>
  <si>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</si>
  <si>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</si>
  <si>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</si>
  <si>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</si>
  <si>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</si>
  <si>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</si>
  <si>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>21.</t>
  </si>
  <si>
    <t>22.</t>
  </si>
  <si>
    <t>23.</t>
  </si>
  <si>
    <t>24.</t>
  </si>
  <si>
    <t>25.</t>
  </si>
  <si>
    <t>26.</t>
  </si>
  <si>
    <t>27.</t>
  </si>
  <si>
    <t>28.</t>
  </si>
  <si>
    <t>29.</t>
  </si>
  <si>
    <t>30.</t>
  </si>
  <si>
    <t>31.</t>
  </si>
  <si>
    <t>Kommen:</t>
  </si>
  <si>
    <t>Gehen:</t>
  </si>
  <si>
    <t>Anwesend: 
(mit Pause)</t>
  </si>
  <si>
    <t>Abzurechnen:
(Ohne Pause)</t>
  </si>
  <si>
    <t>Name:</t>
  </si>
  <si>
    <t>Monat:</t>
  </si>
  <si>
    <t>S</t>
  </si>
  <si>
    <r>
      <t xml:space="preserve"> </t>
    </r>
    <r>
      <rPr>
        <b/>
        <sz val="10"/>
        <rFont val="Symbol"/>
        <family val="1"/>
        <charset val="2"/>
      </rPr>
      <t xml:space="preserve">S </t>
    </r>
    <r>
      <rPr>
        <b/>
        <sz val="10"/>
        <rFont val="Arial"/>
        <family val="2"/>
      </rPr>
      <t xml:space="preserve"> Projektzeiten</t>
    </r>
  </si>
  <si>
    <t>Urlaub</t>
  </si>
  <si>
    <r>
      <t xml:space="preserve"> </t>
    </r>
    <r>
      <rPr>
        <b/>
        <sz val="10"/>
        <rFont val="Symbol"/>
        <family val="1"/>
        <charset val="2"/>
      </rPr>
      <t xml:space="preserve">S </t>
    </r>
    <r>
      <rPr>
        <b/>
        <sz val="10"/>
        <rFont val="Arial"/>
        <family val="2"/>
      </rPr>
      <t xml:space="preserve"> Sonst. Zeiten</t>
    </r>
  </si>
  <si>
    <r>
      <t xml:space="preserve"> S </t>
    </r>
    <r>
      <rPr>
        <b/>
        <sz val="10"/>
        <rFont val="Arial"/>
        <family val="2"/>
      </rPr>
      <t xml:space="preserve"> Gesamt</t>
    </r>
  </si>
  <si>
    <t>Übertrag Vormonat</t>
  </si>
  <si>
    <t>Summe 
monatliche Arbeitszeit</t>
  </si>
  <si>
    <t xml:space="preserve"> Summe Stempelzeiten gerundet
 Mittagspause abgezogen </t>
  </si>
  <si>
    <t>anzurechnende Stunden</t>
  </si>
  <si>
    <t>Differenz aus
Mehrzeit und Zeitausgleich</t>
  </si>
  <si>
    <t>Übertrag Folgemonat</t>
  </si>
  <si>
    <r>
      <t>Tägl. Arbeitszeit</t>
    </r>
    <r>
      <rPr>
        <b/>
        <sz val="8"/>
        <rFont val="Arial"/>
        <family val="2"/>
      </rPr>
      <t xml:space="preserve"> in h</t>
    </r>
    <r>
      <rPr>
        <b/>
        <sz val="9"/>
        <rFont val="Arial"/>
        <family val="2"/>
      </rPr>
      <t xml:space="preserve">
</t>
    </r>
    <r>
      <rPr>
        <b/>
        <sz val="8"/>
        <rFont val="Arial"/>
        <family val="2"/>
      </rPr>
      <t>(nach Arbeitsvertrag)</t>
    </r>
  </si>
  <si>
    <t>anzurechnen
(dezimal)</t>
  </si>
  <si>
    <t>Zeitabrechnung</t>
  </si>
  <si>
    <t>Jahr:</t>
  </si>
  <si>
    <t>Kommen</t>
  </si>
  <si>
    <t>Gehen</t>
  </si>
  <si>
    <r>
      <t>anwesend</t>
    </r>
    <r>
      <rPr>
        <b/>
        <sz val="12"/>
        <rFont val="Arial"/>
        <family val="2"/>
      </rPr>
      <t xml:space="preserve">
</t>
    </r>
    <r>
      <rPr>
        <sz val="8"/>
        <rFont val="Arial"/>
        <family val="2"/>
      </rPr>
      <t>(mit Pausen)</t>
    </r>
  </si>
  <si>
    <t>Pause</t>
  </si>
  <si>
    <t>Zeit-
ausgleich</t>
  </si>
  <si>
    <t>Summe</t>
  </si>
  <si>
    <r>
      <t>anwesend</t>
    </r>
    <r>
      <rPr>
        <b/>
        <sz val="12"/>
        <rFont val="Arial"/>
        <family val="2"/>
      </rPr>
      <t xml:space="preserve">
</t>
    </r>
    <r>
      <rPr>
        <sz val="7"/>
        <rFont val="Arial"/>
        <family val="2"/>
      </rPr>
      <t>(ohne Pausen)</t>
    </r>
  </si>
  <si>
    <r>
      <t>anwesend</t>
    </r>
    <r>
      <rPr>
        <b/>
        <sz val="12"/>
        <rFont val="Arial"/>
        <family val="2"/>
      </rPr>
      <t xml:space="preserve">
</t>
    </r>
    <r>
      <rPr>
        <sz val="7"/>
        <rFont val="Arial"/>
        <family val="2"/>
      </rPr>
      <t>(o. P., dezimal)</t>
    </r>
  </si>
  <si>
    <t>Abw.</t>
  </si>
  <si>
    <t>Regel-Pausenzeit</t>
  </si>
  <si>
    <t>weitere Abwesenheit</t>
  </si>
  <si>
    <t>Krank</t>
  </si>
  <si>
    <t>Übertrag Gleitzeit Vormonat</t>
  </si>
  <si>
    <t>%</t>
  </si>
  <si>
    <t>0:45</t>
  </si>
  <si>
    <t>Mehrzeiten (täglich -&gt; monatlich)</t>
  </si>
  <si>
    <t>Zeitausgleich (täglich -&gt; monatlich)</t>
  </si>
  <si>
    <t>Zeitaufschrieb für Projekte und Daueraufgaben</t>
  </si>
  <si>
    <t xml:space="preserve">allgemein Betrieb (täglich -&gt; monatlich) </t>
  </si>
  <si>
    <t>EL24-001.visio-Allgemein</t>
  </si>
  <si>
    <t>EL24-004.visio-PMC4XX (Cortex-A8) Control-Panel</t>
  </si>
  <si>
    <t>EL24-005.visio-P4xx / xP104, xP121 (Xscale)</t>
  </si>
  <si>
    <t>EL24-007.visio-P7xx-xP150 / xP150 Control-Panel</t>
  </si>
  <si>
    <t>EL24-011.visio-PTE4XX / AOPT (Cortex-A8) WEB-Panel</t>
  </si>
  <si>
    <t>robusto-RMC5xx</t>
  </si>
  <si>
    <t>robusto-RSE240 SSI-Encoder</t>
  </si>
  <si>
    <t>robusto-RSC102 Analogmodul</t>
  </si>
  <si>
    <t>robusto-RSC123 Control-SET</t>
  </si>
  <si>
    <t>motion-FU3-022</t>
  </si>
  <si>
    <t>openMOS</t>
  </si>
  <si>
    <t>Perspecto II Teilprojekt WTP</t>
  </si>
  <si>
    <t>Wochentag:</t>
  </si>
  <si>
    <t>Tag:</t>
  </si>
  <si>
    <t>Tätigkeiten in Projekte oder Daueraufgaben</t>
  </si>
  <si>
    <t>EL24-014.visio-PMC7xx</t>
  </si>
  <si>
    <t>Arndt Gregor</t>
  </si>
  <si>
    <t>Ar</t>
  </si>
  <si>
    <t>Diehl Martin</t>
  </si>
  <si>
    <t>Di</t>
  </si>
  <si>
    <t>Epple Thomas</t>
  </si>
  <si>
    <t>Ep</t>
  </si>
  <si>
    <t>Essig Martin</t>
  </si>
  <si>
    <t>Es</t>
  </si>
  <si>
    <t>Feinle Timm</t>
  </si>
  <si>
    <t>Fl</t>
  </si>
  <si>
    <t>Ga</t>
  </si>
  <si>
    <t>Gierlich Hans</t>
  </si>
  <si>
    <t>Gh</t>
  </si>
  <si>
    <t>Gliese Ralf</t>
  </si>
  <si>
    <t>Gl</t>
  </si>
  <si>
    <t>Herrmann Andrea</t>
  </si>
  <si>
    <t>Hm</t>
  </si>
  <si>
    <t>Hitzelberger Peter</t>
  </si>
  <si>
    <t>Hi</t>
  </si>
  <si>
    <t>Ja</t>
  </si>
  <si>
    <t>Kaupe Johann</t>
  </si>
  <si>
    <t>KJ</t>
  </si>
  <si>
    <t>Kübler Iris</t>
  </si>
  <si>
    <t>Kb</t>
  </si>
  <si>
    <t>Lorenz Frank</t>
  </si>
  <si>
    <t>Lo</t>
  </si>
  <si>
    <t>Marko Bela</t>
  </si>
  <si>
    <t>Meister Eugen</t>
  </si>
  <si>
    <t>Ms</t>
  </si>
  <si>
    <t>Metzger Alexander</t>
  </si>
  <si>
    <t>Nething Frank</t>
  </si>
  <si>
    <t>Ne</t>
  </si>
  <si>
    <t>Nething Nicoleta</t>
  </si>
  <si>
    <t>Ng</t>
  </si>
  <si>
    <t>Niedhammer Cedrik</t>
  </si>
  <si>
    <t>Ni</t>
  </si>
  <si>
    <t>Reutter Marcel</t>
  </si>
  <si>
    <t>Re</t>
  </si>
  <si>
    <t>Rückl Wolfgang</t>
  </si>
  <si>
    <t>Rü</t>
  </si>
  <si>
    <t>Sälzer Mathias</t>
  </si>
  <si>
    <t>Sä</t>
  </si>
  <si>
    <t>Schauer Armin</t>
  </si>
  <si>
    <t>AS</t>
  </si>
  <si>
    <t>Schauer Gerald</t>
  </si>
  <si>
    <t>GS</t>
  </si>
  <si>
    <t>Tesch Harald</t>
  </si>
  <si>
    <t>Te</t>
  </si>
  <si>
    <t>OPAK</t>
  </si>
  <si>
    <t>elaFLEX</t>
  </si>
  <si>
    <t>Motan</t>
  </si>
  <si>
    <t>Klepp</t>
  </si>
  <si>
    <t>Kerres</t>
  </si>
  <si>
    <t>Behncke</t>
  </si>
  <si>
    <t>EL24-013.visio-PTE507</t>
  </si>
  <si>
    <t>EL23_001.combo-Allgemein</t>
  </si>
  <si>
    <t>EL03-007.Studio-V2.9</t>
  </si>
  <si>
    <t>EL03-006.CODESYS V3 Runtime</t>
  </si>
  <si>
    <t>EL03-005.Runtime</t>
  </si>
  <si>
    <t>EL00-034.Applikation-Allgemein</t>
  </si>
  <si>
    <t>EL00-020.Kundensupport (First Level Support)</t>
  </si>
  <si>
    <t>EL00-033.Änderungsmanagement</t>
  </si>
  <si>
    <t>Februar</t>
  </si>
  <si>
    <t xml:space="preserve">Januar 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</si>
  <si>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</si>
  <si>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</si>
  <si>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</si>
  <si>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</si>
  <si>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</si>
  <si>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</si>
  <si>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</si>
  <si>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</si>
  <si>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</si>
  <si>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</si>
  <si>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EL00-003|Verwaltung / Administration</t>
  </si>
  <si>
    <t>EL00-007|Vertrieb Aussendienst</t>
  </si>
  <si>
    <t>EL00-008|Vertrieb Innendienst</t>
  </si>
  <si>
    <t>EL00-010|Kundenreklamationen</t>
  </si>
  <si>
    <t>EL00-013|Pflege der "hompage"</t>
  </si>
  <si>
    <t>EL00-020|Kundensupport</t>
  </si>
  <si>
    <t>EL00-033|Änderungsmanagement</t>
  </si>
  <si>
    <t>EL00-034|Applikationen</t>
  </si>
  <si>
    <t>EL24-004|visio-PMC4XX (Cortex-A8) Control-Panel</t>
  </si>
  <si>
    <t>EL24-011|visio-PTE4XX_AOPT</t>
  </si>
  <si>
    <t>EL24-015|visio-PTE5xx/PTE7XX mit Q7</t>
  </si>
  <si>
    <t>EL24-020|Produktpflege_e!Display</t>
  </si>
  <si>
    <t>EL25-004|robusto-RMC5xx</t>
  </si>
  <si>
    <t>EL25-014|robusto-RSC2xx</t>
  </si>
  <si>
    <t>EL99-029|openMOS</t>
  </si>
  <si>
    <t>EL99-030|Devekos (Festo,afag,3S)</t>
  </si>
  <si>
    <t>EL99-031|Afag_ER12</t>
  </si>
  <si>
    <t>MC003556|Perspecto II Teilprojekt VTP/CTP</t>
  </si>
  <si>
    <t>WAT|WAT Datenbank zu PERSPECTO Gerät</t>
  </si>
  <si>
    <t>Monate</t>
  </si>
  <si>
    <t>EL00-001|Schulung und Weiterbildung</t>
  </si>
  <si>
    <t>EL00-015|Qualitätsmanagement, QMS, Audits</t>
  </si>
  <si>
    <t>EL00-016|Arbeitsschutz, AMS</t>
  </si>
  <si>
    <t>EL00-017|Umweltschutz, UMS</t>
  </si>
  <si>
    <t>01|Materialwirtschaft</t>
  </si>
  <si>
    <t>02|Fertigung</t>
  </si>
  <si>
    <t>03|Qualitätswesen</t>
  </si>
  <si>
    <t>04|Technikum</t>
  </si>
  <si>
    <t>05|Vertrieb</t>
  </si>
  <si>
    <t>01|Initiierungsphase</t>
  </si>
  <si>
    <t>02|Konzeptphase</t>
  </si>
  <si>
    <t>03.01|Entwicklung Hardware durchführen (AA-7.3-310)</t>
  </si>
  <si>
    <t>05|Betriebsmittel- und Bemusterungsphase</t>
  </si>
  <si>
    <t>05.01|Lastenheft Betriebsmittel erstellen</t>
  </si>
  <si>
    <t>05.02|Betriebsmittel bestellen</t>
  </si>
  <si>
    <t>05.03|Material / Kaufteile disponieren</t>
  </si>
  <si>
    <t>05.04|Konstruktion / Entwicklung der Betriebsmittel</t>
  </si>
  <si>
    <t>05.05|Betriebsmittel beauftragen</t>
  </si>
  <si>
    <t>05.06|Betriebsmittel erstellen</t>
  </si>
  <si>
    <t>05.07|Betriebsmittel abrufen</t>
  </si>
  <si>
    <t>06|Serienanlaufphase</t>
  </si>
  <si>
    <t>01.10124|Bühler</t>
  </si>
  <si>
    <t>01.19362|Krone</t>
  </si>
  <si>
    <t>01.29124|technotrans</t>
  </si>
  <si>
    <t>01.32360|WAGO Australien</t>
  </si>
  <si>
    <t>01.01|Meilensteine</t>
  </si>
  <si>
    <t>02.05|Pflichtenheft</t>
  </si>
  <si>
    <t>03|Entwicklungsphase</t>
  </si>
  <si>
    <t>03.02|Entwicklung Software</t>
  </si>
  <si>
    <t>03.03|Dokumentation</t>
  </si>
  <si>
    <t>03.04|PSV</t>
  </si>
  <si>
    <t>04|Konstruktionsphase (Gerätebau RMC500, RMC501, RMC503)</t>
  </si>
  <si>
    <t>04.01|robusto-RMC500</t>
  </si>
  <si>
    <t>04.02|robusto-RMC501</t>
  </si>
  <si>
    <t>04.03|robusto-RMC503</t>
  </si>
  <si>
    <t>06|Serienlaufphase</t>
  </si>
  <si>
    <t>03.09|Entwicklung Software durchführen</t>
  </si>
  <si>
    <t>Projektnummer</t>
  </si>
  <si>
    <t>Arbeitspaket</t>
  </si>
  <si>
    <t>01|Machbarkeit</t>
  </si>
  <si>
    <t>02|Technisches Konzept</t>
  </si>
  <si>
    <t>02.05|Pflichtenheft Erstellung elrest</t>
  </si>
  <si>
    <t>03|Entwicklung</t>
  </si>
  <si>
    <t>03.01|Software Paket 01 - Basisplattform</t>
  </si>
  <si>
    <t>03.02|Software Paket 02</t>
  </si>
  <si>
    <t>03.03|Software Paket 03</t>
  </si>
  <si>
    <t>03.04|Software Paket 04</t>
  </si>
  <si>
    <t>03.05|Hardware Design i.MX6</t>
  </si>
  <si>
    <t>04|Markteinführung</t>
  </si>
  <si>
    <t>05|Prüfungen EMV</t>
  </si>
  <si>
    <t>05.01|Charakterisierung der Hardware</t>
  </si>
  <si>
    <t>05.05|EMV Typprüfung Vorserie bei elrest</t>
  </si>
  <si>
    <t>05.09|UL Zulassung</t>
  </si>
  <si>
    <t>06|Prüfungen Umwelt</t>
  </si>
  <si>
    <t>06.01|Umweltprüfungen bei elrest</t>
  </si>
  <si>
    <t>07|Fertigungseinführung</t>
  </si>
  <si>
    <t>08|Betriebsmittel</t>
  </si>
  <si>
    <t>09|Prüfmittelbau</t>
  </si>
  <si>
    <t>10|Dokumentation</t>
  </si>
  <si>
    <t>11|Sonstiges</t>
  </si>
  <si>
    <t>12|Administration</t>
  </si>
  <si>
    <t>13|Prüfungen PSV</t>
  </si>
  <si>
    <t>14|Approbationen</t>
  </si>
  <si>
    <t>01.10050|SET</t>
  </si>
  <si>
    <t>00|Führungskreis</t>
  </si>
  <si>
    <t>01|Kundenbetreuung</t>
  </si>
  <si>
    <t>01.01|diverse Kunden</t>
  </si>
  <si>
    <t>01.10042|idm</t>
  </si>
  <si>
    <t>01.10060|Klepp</t>
  </si>
  <si>
    <t>01.10065|Grünbeck</t>
  </si>
  <si>
    <t>01.10088|Briem</t>
  </si>
  <si>
    <t>01.10099|Festo Didactic</t>
  </si>
  <si>
    <t>01.10120|Asys</t>
  </si>
  <si>
    <t>01.10132|tototek</t>
  </si>
  <si>
    <t>01.10150|afag</t>
  </si>
  <si>
    <t>01.10229|Wiesheu</t>
  </si>
  <si>
    <t>01.10255|Garper</t>
  </si>
  <si>
    <t>01.11333|Behncke</t>
  </si>
  <si>
    <t>01.11354|Balluff</t>
  </si>
  <si>
    <t>01.11955|Büchi</t>
  </si>
  <si>
    <t>01.12085|Colortronic</t>
  </si>
  <si>
    <t>01.12099|IPEG</t>
  </si>
  <si>
    <t>01.12117|Dornier</t>
  </si>
  <si>
    <t>01.13250|de Man</t>
  </si>
  <si>
    <t>01.14222|Elektro Emmert</t>
  </si>
  <si>
    <t>01.15286|Festo AG</t>
  </si>
  <si>
    <t>01.18213|IDEA</t>
  </si>
  <si>
    <t>01.19392|Kerres</t>
  </si>
  <si>
    <t>01.21247|Viessmann</t>
  </si>
  <si>
    <t>01.21321|Multivac Marking &amp; Inspection</t>
  </si>
  <si>
    <t>01.21322|Motan GmbH</t>
  </si>
  <si>
    <t>01.21385|Motan-Colortronic GmbH</t>
  </si>
  <si>
    <t>01.22081|Mühlbauer</t>
  </si>
  <si>
    <t>01.25102|Rossmanith</t>
  </si>
  <si>
    <t>01.25121|Rehm</t>
  </si>
  <si>
    <t>01.25223|Reuke Klima-Service</t>
  </si>
  <si>
    <t>01.25225|Reuko Systems</t>
  </si>
  <si>
    <t>01.25257|Motan Holding</t>
  </si>
  <si>
    <t>01.25261|Robatherm</t>
  </si>
  <si>
    <t>01.26055|Single</t>
  </si>
  <si>
    <t>01.32350|WAGO</t>
  </si>
  <si>
    <t>02|Interessentenbetreuung</t>
  </si>
  <si>
    <t>02.01|diverse Interessenten</t>
  </si>
  <si>
    <t>02.40000|EWE</t>
  </si>
  <si>
    <t>02.40001|Köttermann</t>
  </si>
  <si>
    <t>02.40002|Relayr</t>
  </si>
  <si>
    <t>03.03|Vertriebsbesprechung</t>
  </si>
  <si>
    <t>01|Kundenbesuche Kunden</t>
  </si>
  <si>
    <t>02|Kundenbesuche Interessenten</t>
  </si>
  <si>
    <t>02.40003|Maha</t>
  </si>
  <si>
    <t>02.40004|Maja</t>
  </si>
  <si>
    <t>02.40005|Homag</t>
  </si>
  <si>
    <t>EL23-007|combo-CM211</t>
  </si>
  <si>
    <t>03.01|Allgemeines</t>
  </si>
  <si>
    <t>03.03|Entwicklung Software durchführen</t>
  </si>
  <si>
    <t>03.10|Dokumentation</t>
  </si>
  <si>
    <t>03.01|Elektronik</t>
  </si>
  <si>
    <t>03.02|Software</t>
  </si>
  <si>
    <t>03.03|Mechanik</t>
  </si>
  <si>
    <t>03.05|Prüfungen EMV</t>
  </si>
  <si>
    <t>03.06|Prüfungen Umwelt</t>
  </si>
  <si>
    <t>04|Konstuktionsphase</t>
  </si>
  <si>
    <t>05.01|PTE507W/L/2/elrest Alu</t>
  </si>
  <si>
    <t>05.02|PTE510D/L/2/P/elrest Alu</t>
  </si>
  <si>
    <t>05.03|PTE715W/L/4/P/elrest Alu</t>
  </si>
  <si>
    <t>06.01|PTE507W/L/2/elrest Alu</t>
  </si>
  <si>
    <t>06.02|PTE510D/L/2/P/elrest Alu</t>
  </si>
  <si>
    <t>06.03|PTE715W/L/4/P/elrest Alu</t>
  </si>
  <si>
    <t>-</t>
  </si>
  <si>
    <t>Fe</t>
  </si>
  <si>
    <t>Gu</t>
  </si>
  <si>
    <t>Ht</t>
  </si>
  <si>
    <t>KL</t>
  </si>
  <si>
    <t>Ki</t>
  </si>
  <si>
    <t>Bl</t>
  </si>
  <si>
    <t>Sk</t>
  </si>
  <si>
    <t>Mr</t>
  </si>
  <si>
    <t>Fa</t>
  </si>
  <si>
    <t>Sp</t>
  </si>
  <si>
    <t>Kr</t>
  </si>
  <si>
    <t>Sr</t>
  </si>
  <si>
    <t>Ip</t>
  </si>
  <si>
    <t>At</t>
  </si>
  <si>
    <t>Br</t>
  </si>
  <si>
    <t>Me</t>
  </si>
  <si>
    <t>Ly</t>
  </si>
  <si>
    <t>Sa</t>
  </si>
  <si>
    <t>Tu</t>
  </si>
  <si>
    <t>Za</t>
  </si>
  <si>
    <t>Ps</t>
  </si>
  <si>
    <t>Gö</t>
  </si>
  <si>
    <t>Am</t>
  </si>
  <si>
    <t>Kö</t>
  </si>
  <si>
    <t>Fr</t>
  </si>
  <si>
    <t>La</t>
  </si>
  <si>
    <t>Bu</t>
  </si>
  <si>
    <t>Al</t>
  </si>
  <si>
    <t>Sc</t>
  </si>
  <si>
    <t>He</t>
  </si>
  <si>
    <t>Ge</t>
  </si>
  <si>
    <t>We</t>
  </si>
  <si>
    <t>Pe</t>
  </si>
  <si>
    <t>Si</t>
  </si>
  <si>
    <t>Allzeit Dominik</t>
  </si>
  <si>
    <t>Amato Roberto</t>
  </si>
  <si>
    <t>Arndt Alexander</t>
  </si>
  <si>
    <t>Balz Gerhard</t>
  </si>
  <si>
    <t>Betriebsruhe elrest</t>
  </si>
  <si>
    <t>Blöhm Anke</t>
  </si>
  <si>
    <t>Burk Peter</t>
  </si>
  <si>
    <t>Dermaku Vaide</t>
  </si>
  <si>
    <t>Egloff Lukas</t>
  </si>
  <si>
    <t>Fackler Anja</t>
  </si>
  <si>
    <t>Fenske Sebastian</t>
  </si>
  <si>
    <t>Fenske Janine</t>
  </si>
  <si>
    <t>Fritzler Alexander</t>
  </si>
  <si>
    <t>Garbaa Leila</t>
  </si>
  <si>
    <t>Gatzka Thorsten</t>
  </si>
  <si>
    <t>Göbel Yvonne</t>
  </si>
  <si>
    <t>Grimme Martina</t>
  </si>
  <si>
    <t>Gugetzer Franz</t>
  </si>
  <si>
    <t>Heller Ulrich</t>
  </si>
  <si>
    <t>Herbert Maria</t>
  </si>
  <si>
    <t>Herrmann Elke</t>
  </si>
  <si>
    <t>Hotline _</t>
  </si>
  <si>
    <t>Ipek Nevin</t>
  </si>
  <si>
    <t>Jayapal Karthick</t>
  </si>
  <si>
    <t>Kaupe Liselotte</t>
  </si>
  <si>
    <t>Kimmel Gabriele</t>
  </si>
  <si>
    <t>Köhler Beditta</t>
  </si>
  <si>
    <t>Konferenzspinne _</t>
  </si>
  <si>
    <t>Kramer Hansjörg</t>
  </si>
  <si>
    <t>La_Riccia Sonja</t>
  </si>
  <si>
    <t>Lohay Jörg</t>
  </si>
  <si>
    <t>Maier Anita</t>
  </si>
  <si>
    <t>Marin Sabrina</t>
  </si>
  <si>
    <t>Meis Harold</t>
  </si>
  <si>
    <t>name no</t>
  </si>
  <si>
    <t>Petzold Vera</t>
  </si>
  <si>
    <t>Pross Annette</t>
  </si>
  <si>
    <t>Rullmann Mathias</t>
  </si>
  <si>
    <t>Saku Miftar</t>
  </si>
  <si>
    <t>Schäfer Karin</t>
  </si>
  <si>
    <t>Schäfer Cornelia</t>
  </si>
  <si>
    <t>Schmidt Hans-Peter</t>
  </si>
  <si>
    <t>Schwitallik Gabriele</t>
  </si>
  <si>
    <t>Sivabalan Laurin</t>
  </si>
  <si>
    <t>Spitzenberg Yvonne</t>
  </si>
  <si>
    <t>Tudisco Luisa</t>
  </si>
  <si>
    <t>Westphal Hans-Jürgen</t>
  </si>
  <si>
    <t>Zamecnik Thilo</t>
  </si>
  <si>
    <t>EL00-021|Supportunterstützung (Second Level Support)</t>
  </si>
  <si>
    <t>EL03-005|ElaDesign-Runtime Softwarepflege</t>
  </si>
  <si>
    <t>EL03-020|CODESYS V3 3.5SP8</t>
  </si>
  <si>
    <t>04.01|TECHNIKUM</t>
  </si>
  <si>
    <t>04.02|TECHNIKUM-HW</t>
  </si>
  <si>
    <t>04.03|TECHNIKUM-SW</t>
  </si>
  <si>
    <t>04.04|TECHNIKUM-AP</t>
  </si>
  <si>
    <t>05.01|Leitende Aufgaben VT</t>
  </si>
  <si>
    <t>05.02|Controlling</t>
  </si>
  <si>
    <t>05.03|Abstimmung GL</t>
  </si>
  <si>
    <t>05.04|Besprechungen</t>
  </si>
  <si>
    <t>05.05|PPS</t>
  </si>
  <si>
    <t>05.06|Intranet</t>
  </si>
  <si>
    <t>05.07|Buchhaltung</t>
  </si>
  <si>
    <t>05.08|Personalwesen</t>
  </si>
  <si>
    <t>05.09|Verwaltungsaufgaben</t>
  </si>
  <si>
    <t>06|Organisationsmanagement</t>
  </si>
  <si>
    <t>06.01|GL</t>
  </si>
  <si>
    <t>06.02|OM</t>
  </si>
  <si>
    <t>EL99-033|Abzugssteuerung 2018</t>
  </si>
  <si>
    <t>OPL</t>
  </si>
  <si>
    <t>PMC5XX-CoDeSysV3-Komponente</t>
  </si>
  <si>
    <t>0:30</t>
  </si>
  <si>
    <t>EL00-027|EDV-Unterstützung</t>
  </si>
  <si>
    <t>03.02.02.02 WBM</t>
  </si>
  <si>
    <t>06.03|OM-IT</t>
  </si>
  <si>
    <t>EL00-040|IT</t>
  </si>
  <si>
    <t>01|Infrastruktur</t>
  </si>
  <si>
    <t>02|Software</t>
  </si>
  <si>
    <t>02.01|Infor</t>
  </si>
  <si>
    <t>03|Diverses</t>
  </si>
  <si>
    <t>03.01|Telefone &amp; Handy</t>
  </si>
  <si>
    <t>EL00-005|Messevorbereitung (elrest-Messen)</t>
  </si>
  <si>
    <t>01.01|Daueraufgaben</t>
  </si>
  <si>
    <t>01.02|Server</t>
  </si>
  <si>
    <t>01.03|Netzwerk</t>
  </si>
  <si>
    <t>01.04|Clients</t>
  </si>
  <si>
    <t>01.05|Sicherheit</t>
  </si>
  <si>
    <t>03.03|Sonstiges</t>
  </si>
  <si>
    <t>02.03|CMS - freigegeben</t>
  </si>
  <si>
    <t>03.12|Administartion</t>
  </si>
  <si>
    <t>03.13|Prüfungen PSV</t>
  </si>
  <si>
    <t>02.05|Projekt 701-Intranet</t>
  </si>
  <si>
    <t>EL00-999|Abwesenheit</t>
  </si>
  <si>
    <t>Pils Patrick</t>
  </si>
  <si>
    <t>Pi</t>
  </si>
  <si>
    <t>01.99|MW Reisen</t>
  </si>
  <si>
    <t>02.99|FE Reisen</t>
  </si>
  <si>
    <t>04.99|TE Reisen</t>
  </si>
  <si>
    <t>05.99|VT Reisen</t>
  </si>
  <si>
    <t>06.99|GK Reisen</t>
  </si>
  <si>
    <t>02.40006|Haldrup</t>
  </si>
  <si>
    <t>02.40006|WAGO Austria</t>
  </si>
  <si>
    <t>EL00-035|Bauteilemanagement</t>
  </si>
  <si>
    <t>04|PPS</t>
  </si>
  <si>
    <t>04.01|OnlineListe</t>
  </si>
  <si>
    <t>04.02|Planung &amp; Absatz</t>
  </si>
  <si>
    <t>01.32359|WAGO Schweiz</t>
  </si>
  <si>
    <t>01.32361|WAGO Tschechien</t>
  </si>
  <si>
    <t>03.04|Wago IT</t>
  </si>
  <si>
    <t>02.40007|Camfil</t>
  </si>
  <si>
    <t>EL24-013|PTE5xx/PMC5xx All-In-One mit iMX6</t>
  </si>
  <si>
    <t>MC004061|MC4061_eDisplay_15_21zoll</t>
  </si>
  <si>
    <t>05.02|EMV Typprüfung Prototyp mit LEDs bei elrest</t>
  </si>
  <si>
    <t>EL99-026|Klepp Absaugplatine</t>
  </si>
  <si>
    <t>01.10242|Adrive</t>
  </si>
  <si>
    <t>02.40008|Kannegieser</t>
  </si>
  <si>
    <t>01.10|Versandrechner</t>
  </si>
  <si>
    <t>02.99|Lizenzaudit Infor</t>
  </si>
  <si>
    <t>03.20|AA, F, ..</t>
  </si>
  <si>
    <t>02.07|PPS Dispo</t>
  </si>
  <si>
    <t>01.32361|WAGO Austria</t>
  </si>
  <si>
    <t>99|Termine</t>
  </si>
  <si>
    <t>99.01|RMC500</t>
  </si>
  <si>
    <t>99.02|RMC501</t>
  </si>
  <si>
    <t>99.03|RMC503</t>
  </si>
  <si>
    <t>07|Sonstiges</t>
  </si>
  <si>
    <t>EL03-021|eIT- ERP</t>
  </si>
  <si>
    <t>03.02|Reparaturen</t>
  </si>
  <si>
    <t>03.03|Prüfmittel</t>
  </si>
  <si>
    <t>03.04|Reklamationen</t>
  </si>
  <si>
    <t>02.40009|Elektror</t>
  </si>
  <si>
    <t>01.98|Tausch Hauptswitch</t>
  </si>
  <si>
    <t>01.99|Lizenzprüfung</t>
  </si>
  <si>
    <t>02.40010|Leica</t>
  </si>
  <si>
    <t>01.06|Sonstige Infrastruktur</t>
  </si>
  <si>
    <t>02.06|Sonstige Software</t>
  </si>
  <si>
    <t>WBM/CS3 SP12</t>
  </si>
  <si>
    <t>02.40011|Ulmatec</t>
  </si>
  <si>
    <t>02.40012|Anton Paar</t>
  </si>
  <si>
    <t>02.04|CMS noch nicht freigegeben</t>
  </si>
  <si>
    <t>1.1|Entwicklungsantrag stellen</t>
  </si>
  <si>
    <t>1.3|Lastenfeft erstellen</t>
  </si>
  <si>
    <t>1.4|Entscheidungsvorlage ausfüllen</t>
  </si>
  <si>
    <t>1.5|Projektausschusssitzung durchführen</t>
  </si>
  <si>
    <t>2.1|Projektleiter ernennen</t>
  </si>
  <si>
    <t>2.10|Pflichtenheft Review</t>
  </si>
  <si>
    <t>2.2|Projektteam festlegen</t>
  </si>
  <si>
    <t>2.3|Technisches Konzept erarbeiten</t>
  </si>
  <si>
    <t>2.4|Projektplan erstellen</t>
  </si>
  <si>
    <t>2.5|Pflichtenheft erstellen</t>
  </si>
  <si>
    <t>2.8|Betriebsmittel planen</t>
  </si>
  <si>
    <t>2.9|Witschaftlichkeit betrachten</t>
  </si>
  <si>
    <t>6|Funktionsmuster bauen</t>
  </si>
  <si>
    <t>06.01|Nach-Kalkulation durchführen</t>
  </si>
  <si>
    <t>06.02|Fertigung</t>
  </si>
  <si>
    <t>02.04|SW-Architektur elrest</t>
  </si>
  <si>
    <t>02.13|Pflichtenheft-Review</t>
  </si>
  <si>
    <t>03.06|MTBF Berechnung (Prallel zu Beschaffung ULP,Material)</t>
  </si>
  <si>
    <t>05.03| Prüfbegleitung EMV bei Kriwan</t>
  </si>
  <si>
    <t>05.04|Prüfung bei Kriwan Prototyp mi LEDs</t>
  </si>
  <si>
    <t>05.06| Prüfbegleitung EMV bei Kriwan Vorserie</t>
  </si>
  <si>
    <t>05.07|Prüfung bei Kriwan Vorserie (DNVGL Zertifizierung)</t>
  </si>
  <si>
    <t>06.02|Umweltprüfungen Prüfbegleitung bei Kriwan</t>
  </si>
  <si>
    <t>06.03|Umweltprüfungen bei Kriwan durchführen</t>
  </si>
  <si>
    <t>09.01|Prüfmittelbau elrest</t>
  </si>
  <si>
    <t>10.01|Dokumentation Templates zur Verfügung stellen</t>
  </si>
  <si>
    <t>13.01|PSV Test elrest</t>
  </si>
  <si>
    <t>MC004121|MC4121_Stepper</t>
  </si>
  <si>
    <t>03.04|Auftragsabwicklung</t>
  </si>
  <si>
    <t>EL00-025|Allgemeine Einkauf-Unterstützung</t>
  </si>
  <si>
    <t>01|infor</t>
  </si>
  <si>
    <t>01.01|PPS</t>
  </si>
  <si>
    <t>01.02|PPS - Besprechungen</t>
  </si>
  <si>
    <t>120717.3|Änderung_x715_Geräte</t>
  </si>
  <si>
    <t>121030.2|Abküdigung_CF-Card</t>
  </si>
  <si>
    <t>130226.1|AT49BV320D-70T_EOL_At</t>
  </si>
  <si>
    <t>130226.11|AT49BV320D-70T_EOL_202100021A_multicom-IT_At</t>
  </si>
  <si>
    <t>130226.14|AT49BV320D-70T_EOL_202100025A_multicom-IT_ESB_At</t>
  </si>
  <si>
    <t>130226.15|AT49BV320D-70T_EOL_246110010B_TP_5_7_At</t>
  </si>
  <si>
    <t>130226.16|AT49BV320D-70T_EOL_244000010A_MP_3_1_At</t>
  </si>
  <si>
    <t>130226.17|AT49BV320D-70T_EOL_246113306_P305_Colortronic_At</t>
  </si>
  <si>
    <t>130226.18|AT49BV320D-70T_EOL_246113300B_P305_CS_At</t>
  </si>
  <si>
    <t>130226.19|AT49BV320D-70T_EOL_246613301B_P303_neutral_At</t>
  </si>
  <si>
    <t>130226.2|CO314-1_und_CO315-1_DieShrink</t>
  </si>
  <si>
    <t>130314.1|Txxx-P3020-2_bzw_3_De</t>
  </si>
  <si>
    <t>140117.1|fredDI16-vs-fredDIO16-Umbau_At</t>
  </si>
  <si>
    <t>140122.1|Abküdigung_Display_xP150_De</t>
  </si>
  <si>
    <t>140206.1|Batterielebensdauer_P4xx_mit_CO314-2_und_CO315-2_De</t>
  </si>
  <si>
    <t>140217.1|schwefelfreie_Dichtungen_Hi</t>
  </si>
  <si>
    <t>140424.1|Abküdigung_GAL_ICSGAL20V8A_22V10_16V8</t>
  </si>
  <si>
    <t>140424.2|Abküdigung_GAL_ICSGAL22LV10D</t>
  </si>
  <si>
    <t>140612.1|Weidmller_Push-In_Stecker_COMBO_Du</t>
  </si>
  <si>
    <t>140701.1|Neue_SW-Pakete_WAGO_CPxxx-TV_es</t>
  </si>
  <si>
    <t>140718.1|5Komma7Zoll-Touch-CO813_abgeküdigt_De</t>
  </si>
  <si>
    <t>141218.1|Neue_SW-Paket_Dornier_P408_es</t>
  </si>
  <si>
    <t>150113.1|AOPT090_kompatibel_zum_P50</t>
  </si>
  <si>
    <t>150122.1|P203_SET_CAN_Abschlusswiderstand</t>
  </si>
  <si>
    <t>150202.1|3Komma5Zoll-Touch-CO812_abgeküdigt_De</t>
  </si>
  <si>
    <t>150319.1|P203_SET_24510_0003_SW-Paketänderung_NAND_Flash_Hi</t>
  </si>
  <si>
    <t>150319.2|P205_Motan_24522_0003_SW-Paketänderung_NAND_Flash_Hi</t>
  </si>
  <si>
    <t>150319.3|WP_35_24510_5005_SW-Paketänderung_NAND_Flash_Hi</t>
  </si>
  <si>
    <t>150319.4|CP_35_24510_5006_SW-Paketänderung_NAND_Flash_Hi</t>
  </si>
  <si>
    <t>150319.5|CP_35_TV_24510_5007_SW-Paketänderung_NAND_Flash_Hi</t>
  </si>
  <si>
    <t>150319.6|WP_57_24522_5005_SW-Paketänderung_NAND_Flash_Hi</t>
  </si>
  <si>
    <t>150319.7|CP_57_24522_5006_SW-Paketänderung_NAND_Flash_Hi</t>
  </si>
  <si>
    <t>150319.8|CP_57_TV_24522_5007_SW-Paketänderung_NAND_Flash_Hi</t>
  </si>
  <si>
    <t>150319.9|CP_57_IPEG_24522_5008_SW-Paketänderung_NAND_Flash_Hi</t>
  </si>
  <si>
    <t>150323.1|P203_ED_CS_CAN_24510_0000_SW-Paketänderung_NAND_Flash_Hi</t>
  </si>
  <si>
    <t>150323.3|P203_ED_CS_CAN_IMA_24510_0002_SW-Paketänderung_NAND_Flash_Hi</t>
  </si>
  <si>
    <t>150323.4|P205_ED_CS_CAN_ELREST_S2_TFT_24522_0000_SW-Paketänderung_NAND_Flash_Hi</t>
  </si>
  <si>
    <t>150323.6|P205_TFT_QVGA_24522_0004_SW-Paketänderung_NAND_Flash_Hi</t>
  </si>
  <si>
    <t>150323.8|P205_S2_STN-col_24521_0004_SW-Paketänderung_NAND_Flash_Hi</t>
  </si>
  <si>
    <t>150323.9|P205_neutral_TFT_24522_0002_SW-Paketänderung_NAND_Flash_Hi</t>
  </si>
  <si>
    <t>150324.1|BEHNCKE_Control_1_2_24122_0004_Dimensionierung_Sicherungen_Hi</t>
  </si>
  <si>
    <t>150324.2|Pool_Control_Dynamic_24122_0002_Dimensionierung_Sicherungen_Hi</t>
  </si>
  <si>
    <t>150326.1|P205_Motan_24522_0003_Bestckungsänderung_Gespiegeltes_Display_Hi</t>
  </si>
  <si>
    <t>150326.6|P205_TFT_QVGA_24522_0004_Bestckungsänderung_Gespiegeltes_Display_Hi</t>
  </si>
  <si>
    <t>150326.7|P205_TV_TFT_QVGA_24522_0005_Bestckungsänderung_Gespiegeltes_Display_Hi</t>
  </si>
  <si>
    <t>150409.1|Neues_SW-Paket_WAGO_WP_35_24510_5005_ES</t>
  </si>
  <si>
    <t>150409.2|Neues_SW-Paket_WAGO_WP_57_24522_5005_ES</t>
  </si>
  <si>
    <t>150409.3|Neues_SW-Paket_WAGO_WP_104_24750_5000_ES</t>
  </si>
  <si>
    <t>150409.4|Neues_SW-Paket_WAGO_WP_121_24760_5000_ES</t>
  </si>
  <si>
    <t>150422.1|Display_WAGO_WP_104_24750_5000_abgeküdigt_De</t>
  </si>
  <si>
    <t>150422.2|Display_WAGO_CP_104_24750_5002_abgeküdigt_De</t>
  </si>
  <si>
    <t>150422.3|Display_WAGO_CP_104_TV_24750_5003_abgeküdigt_De</t>
  </si>
  <si>
    <t>150506.1|AOPT570_Display_Problem</t>
  </si>
  <si>
    <t>150507.1|AOPT350_24711_1000_Anzeige_MAC_ID</t>
  </si>
  <si>
    <t>150507.2|AOPT570_24791_1000_Anzeige_MAC_ID</t>
  </si>
  <si>
    <t>150602.11|BL-Inverter_TOKO_246110010B_TP5_7_multicom_De</t>
  </si>
  <si>
    <t>150602.12|BL-Inverter_TOKO_246113306_P305_Colortronic_De</t>
  </si>
  <si>
    <t>150602.13|BL-Inverter_TOKO_24621_0002_RT290_Rommel_De</t>
  </si>
  <si>
    <t>150602.14|BL-Inverter_TOKO_24621_0000_T290_De</t>
  </si>
  <si>
    <t>150602.15|BL-Inverter_TOKO_24621_0006_T290_Motan_De</t>
  </si>
  <si>
    <t>150602.16|BL-Inverter_TOKO_246113300B_P305_De</t>
  </si>
  <si>
    <t>150602.17|BL-Inverter_TOKO_De</t>
  </si>
  <si>
    <t>150602.3|AOPT570_LVDS_Display_De</t>
  </si>
  <si>
    <t>150602.4|Einpressbolzen_bei_älteren_Geräten_De</t>
  </si>
  <si>
    <t>150616.1|AOPT350_570_Gehäusedeckel_aus_Federstahl_De</t>
  </si>
  <si>
    <t>150622.1|PMC-Batteriesockel_De</t>
  </si>
  <si>
    <t>150626.1|P205_PMC405_Display_abgeküdigt_De</t>
  </si>
  <si>
    <t>150701.1|PMC410_Mawera_Gehäusedeckel_De</t>
  </si>
  <si>
    <t>150716.2|AOPT350_Display</t>
  </si>
  <si>
    <t>150730.1|CM211_Batteriefehler_Motan_Fl</t>
  </si>
  <si>
    <t>150817.1|P4xx_SDRAM_CO314-3</t>
  </si>
  <si>
    <t>150817.11|P4xx_SDRAM_CO314-3_247300000_P406_CS</t>
  </si>
  <si>
    <t>150817.12|P4xx_SDRAM_CO314-3_247303200_P406_Viessmann</t>
  </si>
  <si>
    <t>150817.13|P4xx_SDRAM_CO314-3_24740_0004_P408_elrest</t>
  </si>
  <si>
    <t>150817.14|P4xx_SDRAM_CO314-3_24740_3301_P408_Multivac</t>
  </si>
  <si>
    <t>150817.15|P4xx_SDRAM_CO314-3_24740_3501_P408_Kerres</t>
  </si>
  <si>
    <t>150817.16|P4xx_SDRAM_CO314-3_24750_0006_P410_S2</t>
  </si>
  <si>
    <t>150817.17|P4xx_SDRAM_CO314-3_24750_0007_P410</t>
  </si>
  <si>
    <t>150817.18|P4xx_SDRAM_CO314-3_247503203_P410_Viessmann</t>
  </si>
  <si>
    <t>150817.19|P4xx_SDRAM_CO314-3_24760_0002_P412_S2</t>
  </si>
  <si>
    <t>150817.2|P4xx_SDRAM_CO315-3</t>
  </si>
  <si>
    <t>150817.20|P4xx_SDRAM_CO314-3_24760_0003_P412</t>
  </si>
  <si>
    <t>150817.21|P4xx_SDRAM_CO314-3_24760_0004_P412_TV</t>
  </si>
  <si>
    <t>150817.22|P4xx_SDRAM_CO314-3_247903600_P405_Bchi</t>
  </si>
  <si>
    <t>150817.23|P4xx_SDRAM_CO314-3_Alte_Geräte_Reparatur</t>
  </si>
  <si>
    <t>150817.31|P4xx_SDRAM_CO315-3_24730_3112_P406M_Krone</t>
  </si>
  <si>
    <t>150817.32|P4xx_SDRAM_CO315-3_24730_3113_P406K_Krone</t>
  </si>
  <si>
    <t>150817.33|P4xx_SDRAM_CO315-3_247303111_P406K_Krone</t>
  </si>
  <si>
    <t>150817.34|P4xx_SDRAM_CO315-3_24740_3400_P408_Dornier</t>
  </si>
  <si>
    <t>150817.35|P4xx_SDRAM_CO315-3_24740_3401_P408_Dornier_VET</t>
  </si>
  <si>
    <t>150817.36|P4xx_SDRAM_CO315-3_Alte_Geräte_Reparatur</t>
  </si>
  <si>
    <t>160125.1|Neue_SW-Paket_Motan_PMC405_es</t>
  </si>
  <si>
    <t>160202.1|IAM29F800BB_70xy_EOL_Hi</t>
  </si>
  <si>
    <t>160202.11|IAM29F800BB_70xy_EOL_41230_0001_ASYS_MM101_Hi</t>
  </si>
  <si>
    <t>160202.12|IAM29F800BB_70xy_EOL_10803036_ASYS_M3_Hi</t>
  </si>
  <si>
    <t>160203.1|CO328-3_CP150_abgeküdigt_De</t>
  </si>
  <si>
    <t>160217.1|CO774_Innodisk_CF-Karten_doch_geaendert_De</t>
  </si>
  <si>
    <t>160217.2|GEEL228-1_Trägerplatte_AOPT570_De</t>
  </si>
  <si>
    <t>160217.3|MB-FB314-4_Frontplatte_AOPT570_De</t>
  </si>
  <si>
    <t>160218.1|X070_Display_At</t>
  </si>
  <si>
    <t>160225.1|Wiedereinfhrung_Mittelbolzen_P410_xP104_De</t>
  </si>
  <si>
    <t>160225.11|Wiedereinfhrung_Mittelbolzen_24750_5000_WP_104_De</t>
  </si>
  <si>
    <t>160225.12|Wiedereinfhrung_Mittelbolzen_24750_5002_CP_104_De</t>
  </si>
  <si>
    <t>160225.13|Wiedereinfhrung_Mittelbolzen_24750_5003_CP_104_TV_De</t>
  </si>
  <si>
    <t>160225.14|Wiedereinfhrung_Mittelbolzen_24750_0006_P410_S2_De</t>
  </si>
  <si>
    <t>160225.15|Wiedereinfhrung_Mittelbolzen_24750_0007_P410_Neutral_De</t>
  </si>
  <si>
    <t>160301.1|Displaybefestigung_24793_5001-24773_5001-24753_5001</t>
  </si>
  <si>
    <t>160303.1|Softwarepaket-P408_Kerres-Di</t>
  </si>
  <si>
    <t>160609.2|LVDS-Kabel-mit-Rippenkern_eDISPLAY</t>
  </si>
  <si>
    <t>160616.1|Neues_SW-Paket_CM1xx_Es</t>
  </si>
  <si>
    <t>160630.1|P205-CP57_SDRAM-Abküdigung</t>
  </si>
  <si>
    <t>160630.2|P203-CP35_SDRAM-Abküdigung</t>
  </si>
  <si>
    <t>160708.1|Zeichnungsänderung-Platinenanbindung_xTP204</t>
  </si>
  <si>
    <t>160719.1|Neues Gehäuse GEEL210 füpr P203</t>
  </si>
  <si>
    <t>161011.1|PMC4xx_SW-Paketänderung_NAND_Flash_Es</t>
  </si>
  <si>
    <t>161011.11|PMC4xx_SW-Paketänderung_NAND_Flash_PMC405 Motan_24792.3700_Es</t>
  </si>
  <si>
    <t>161013.1|Softwarepaket-CM211_elrest_CS3_Ne_Di: Abnahme</t>
  </si>
  <si>
    <t>170216.1|Verpackungsetikett_WAGO_Ar</t>
  </si>
  <si>
    <t>170316.1|PMC4XX_SRAM-Abküdigung</t>
  </si>
  <si>
    <t>170316.2|P4XX_SRAM-Abküdigung</t>
  </si>
  <si>
    <t>170601.1|Wegfall_GL_Perspecto_WAGO_At</t>
  </si>
  <si>
    <t>170705.1|MS6_Änderung_Kondensator_Bchi_Ar</t>
  </si>
  <si>
    <t>170814.1|Änderung_Grundplatine_CM211_Me</t>
  </si>
  <si>
    <t>170814.11|Änderung_Grundplatine_CM211_CS2_ED_23113.0002_Me</t>
  </si>
  <si>
    <t>170814.12|Änderung_Grundplatine_CM211_CS2_ED_SD 23113.0003_Me</t>
  </si>
  <si>
    <t>170814.13|Änderung_Grundplatine_CM211_CS3_TV 23113.0004_Me</t>
  </si>
  <si>
    <t>170814.14|Änderung_Grundplatine_CM211_CS3_TV_SD 23113.0005_Me</t>
  </si>
  <si>
    <t>170814.15|Änderung_Grundplatine_CM211_CS2_ED_CAN 23113.0007_Me</t>
  </si>
  <si>
    <t>170814.17|Änderung_Grundplatine_CM211.1_CS2_ED 23113.0012_Me</t>
  </si>
  <si>
    <t>170814.18|Änderung_Grundplatine_CM211.1_CS3_TV 23113.0015_Me</t>
  </si>
  <si>
    <t>170818.1|DNVGL-Zulassung-WTP2xx</t>
  </si>
  <si>
    <t>170928.1|PMC406 mechanische Änderung</t>
  </si>
  <si>
    <t>171013.1|Trizeps Äbkündigung</t>
  </si>
  <si>
    <t>171016.1|Allocation-NAND-Flash-WTP2xx</t>
  </si>
  <si>
    <t>171025.1|Flash und Planar-Trafo</t>
  </si>
  <si>
    <t>171025.2|Planar-Trafo</t>
  </si>
  <si>
    <t>171025.3|Elko CR470U10R5T2</t>
  </si>
  <si>
    <t>00|Meilensteine</t>
  </si>
  <si>
    <t>01.01|Angebote</t>
  </si>
  <si>
    <t>03|Entwicklungsphase und Konstruktionsphase</t>
  </si>
  <si>
    <t>03.02|Entwicklung Hardware durchführen</t>
  </si>
  <si>
    <t>03.04|Dokumentation (GB+DB)</t>
  </si>
  <si>
    <t>06.01|Serie : Krone</t>
  </si>
  <si>
    <t>06.02|Serie : Mawera</t>
  </si>
  <si>
    <t>06.03|Serie : elrest-Kunden</t>
  </si>
  <si>
    <t>02.02|Projektteam festlegen</t>
  </si>
  <si>
    <t>02.03|Technisches Konzept erarbeiten</t>
  </si>
  <si>
    <t>02.04|Pflichtenheft</t>
  </si>
  <si>
    <t>02.99|Verwaltung / Projektleitung</t>
  </si>
  <si>
    <t>03.02|Entwicklung Hardware durchführen (AA-7.3-310)</t>
  </si>
  <si>
    <t>03.04|Applikationsentwicklung</t>
  </si>
  <si>
    <t>03.99|Verwaltung / Projektleitung</t>
  </si>
  <si>
    <t>00|Wichtige Meilensteine</t>
  </si>
  <si>
    <t>02.10|LH</t>
  </si>
  <si>
    <t>03.05|Afag - EG20</t>
  </si>
  <si>
    <t>03.06|Masmec - Dreh-Hebe-Unit</t>
  </si>
  <si>
    <t>03.07|Intorsys - Device Adapter</t>
  </si>
  <si>
    <t>03.08|Entwicklung FPGA (MAX10)</t>
  </si>
  <si>
    <t>03.10|HTML5 eWEB 1.0</t>
  </si>
  <si>
    <t>03.11|DriveCore V2.2</t>
  </si>
  <si>
    <t>03.20|Verwaltung / Projektleitung</t>
  </si>
  <si>
    <t>98|Projektspezifisch (laut Antrag)</t>
  </si>
  <si>
    <t>98.01|Industrial Requirements, Standardisation and Business Motivation</t>
  </si>
  <si>
    <t>98.02|Embedded Smart Plug&amp;Produce Device Adapter</t>
  </si>
  <si>
    <t>98.03|Open P&amp;P Manufacturing Service Bus</t>
  </si>
  <si>
    <t>98.04|Rapid Changeover and Energy Optimisation System</t>
  </si>
  <si>
    <t>98.05|TRL5-8 Plug&amp;Produce Devices and Machine Demonstrators</t>
  </si>
  <si>
    <t>98.06|TRL5-6 Cell Level Early Demonstration and Testing</t>
  </si>
  <si>
    <t>98.07|TRL6-7 Industrial Pilot Demonstrators</t>
  </si>
  <si>
    <t>98.08|Dissemination</t>
  </si>
  <si>
    <t>98.09|Project Management</t>
  </si>
  <si>
    <t>01.01|Wichtige Meilensteine</t>
  </si>
  <si>
    <t>03.01|Eval-Kit EMC201S (HW6)</t>
  </si>
  <si>
    <t>03.02|EMC201 MES (HW3) EMC201 MES</t>
  </si>
  <si>
    <t>03.03|Wndelförderer (afag)</t>
  </si>
  <si>
    <t>03.04|ES20/30/40</t>
  </si>
  <si>
    <t>03.05|SG50  (afag)</t>
  </si>
  <si>
    <t>03.06|Kleinsteuerung (afag und Festo)</t>
  </si>
  <si>
    <t>03.07|VDMA Demonstrator für die Automatica 2018</t>
  </si>
  <si>
    <t>03.08|Safety Platine für Motion Implementierung</t>
  </si>
  <si>
    <t>98|Ungeplant</t>
  </si>
  <si>
    <t>02.01|Grobentwurf SW und HW- Architektur</t>
  </si>
  <si>
    <t>02.02|Use-Cases definieren</t>
  </si>
  <si>
    <t>02.03|PH/AP-Beschreibung erstellen</t>
  </si>
  <si>
    <t>02.04|Projektteam festlegen</t>
  </si>
  <si>
    <t>02.05|Projektplan erstellen</t>
  </si>
  <si>
    <t>02.06|Pflichtenheft erstellen</t>
  </si>
  <si>
    <t>02.07|Prüfkonzept</t>
  </si>
  <si>
    <t>03.01|Allgemeines / Vorarbeit</t>
  </si>
  <si>
    <t>03.02|MMI-Basic (PMC135D-M7)</t>
  </si>
  <si>
    <t>03.03|MMI-Premium (PMC205S)</t>
  </si>
  <si>
    <t>03.04|Relaisboard 4/8-fach</t>
  </si>
  <si>
    <t>03.05|AutoProtect</t>
  </si>
  <si>
    <t>03.06|AirMonitor</t>
  </si>
  <si>
    <t>03.07|GLT Board</t>
  </si>
  <si>
    <t>03.08|Hall-Sensor Platine (Ersatz für 4201-38 Hallsensorplatine 1000923)</t>
  </si>
  <si>
    <t>03.09|Temperatur-Sensor (Edelstahl V2A Gehäuse)</t>
  </si>
  <si>
    <t>99.01|Köttermann Planung</t>
  </si>
  <si>
    <t>99.02|elrest Planung</t>
  </si>
  <si>
    <t>01|e!DISPLAY Produktpflege WTP</t>
  </si>
  <si>
    <t>01.01|Bedruckung Gehäuse</t>
  </si>
  <si>
    <t>01.02|Serienetikett Anpassen</t>
  </si>
  <si>
    <t>01.03|QR Code Etikett erstellen</t>
  </si>
  <si>
    <t>01.05|Abkündigung 10,1" Display e!DISPLAY</t>
  </si>
  <si>
    <t>01.06|Allocation-NAND-Flash-WTP2xx</t>
  </si>
  <si>
    <t>01.07|Anpassung Bedruckung Schutzklasse</t>
  </si>
  <si>
    <t>U</t>
  </si>
  <si>
    <t>F</t>
  </si>
  <si>
    <t>03.01|Entwicklung Hardware durchführen</t>
  </si>
  <si>
    <t>03.02|Encoder</t>
  </si>
  <si>
    <t>03.03|BISS Encoder (Absolut)</t>
  </si>
  <si>
    <t>03.04|Multiturn</t>
  </si>
  <si>
    <t>03.05|AD-Wandlung</t>
  </si>
  <si>
    <t>03.06|Endstufe</t>
  </si>
  <si>
    <t>03.07|Test-Aufbau</t>
  </si>
  <si>
    <t>03.08|CODESYS-Schnittstelle</t>
  </si>
  <si>
    <t>03.09|DA-Wandler Debug Schnittstelle</t>
  </si>
  <si>
    <t>03.10|HW Anpassung</t>
  </si>
  <si>
    <t>03.11|Inhouse EMV Test</t>
  </si>
  <si>
    <t>03.12|Sonstiges</t>
  </si>
  <si>
    <t>04|Software Implemetierung</t>
  </si>
  <si>
    <t>04.01|Wake &amp; Shake</t>
  </si>
  <si>
    <t>04.02|Sollwertgenerator</t>
  </si>
  <si>
    <t>04.03|VHDL Oszilloskop</t>
  </si>
  <si>
    <t>04.04|Dual-Encoder Loop Control</t>
  </si>
  <si>
    <t>04.05|IO-Link</t>
  </si>
  <si>
    <t>04.06|Testumgebung Dauerlauf</t>
  </si>
  <si>
    <t>04.07|Applikation</t>
  </si>
  <si>
    <t>04.08|Sonstiges</t>
  </si>
  <si>
    <t>99.01|Bestellungen PH</t>
  </si>
  <si>
    <t>99.02|Bestellungen Entwicklung Phase1</t>
  </si>
  <si>
    <t>05.04|Konstruktion / Entwicklung Prüfadapter</t>
  </si>
  <si>
    <t>05.05|CPS Gate Problem Switch / Softwarepaket für Serie</t>
  </si>
  <si>
    <t>05.06|Betriebsmittel beauftragen</t>
  </si>
  <si>
    <t>05.07|Betriebsmittel erstellen</t>
  </si>
  <si>
    <t>05.08|Betriebsmittel abrufen</t>
  </si>
  <si>
    <t>04.01|TE-SW</t>
  </si>
  <si>
    <t>01|System</t>
  </si>
  <si>
    <t>01.01|Evaluierung</t>
  </si>
  <si>
    <t>03|Allgemeines</t>
  </si>
  <si>
    <t>03.01|Sonstiges</t>
  </si>
  <si>
    <t>03.02|Akquise</t>
  </si>
  <si>
    <t>03.05|PCN</t>
  </si>
  <si>
    <t>05|MW - Infor</t>
  </si>
  <si>
    <t>05.01|Etikettendruck im WE</t>
  </si>
  <si>
    <t>06|IT-Guideline-Datenschutz</t>
  </si>
  <si>
    <t>06.01|IT-Guideline</t>
  </si>
  <si>
    <t>06.02|Datenschutz</t>
  </si>
  <si>
    <t>EL26-006|drive-FU3_MC3-020_065</t>
  </si>
  <si>
    <t>05.01|Prüfplatz Low Voltage (LV)</t>
  </si>
  <si>
    <t>05.02|Prüfplatz High Voltage (HV)</t>
  </si>
  <si>
    <t>06.01|Serienstart Fa. IDM 40 Stück</t>
  </si>
  <si>
    <t>06.02|Serienstart Fa. IDM 60 Stück</t>
  </si>
  <si>
    <t>03.01|EMC201 PCB Hardwareentwicklung P4085-x</t>
  </si>
  <si>
    <t>02.01|Pflichtenheft Phase 1 beauftragt</t>
  </si>
  <si>
    <t>02.02|Evaluierung Encoder</t>
  </si>
  <si>
    <t>03.01.01|Schaltplan für erstes Design P4101-0 erstellen</t>
  </si>
  <si>
    <t>03.01.02|PCB erstes Design P4101-0</t>
  </si>
  <si>
    <t>03.01.03|Optimierung der Endstufe</t>
  </si>
  <si>
    <t>99|Verwaltung</t>
  </si>
  <si>
    <t>02.01.01|Auswahl Komponenten</t>
  </si>
  <si>
    <t>02.01.02|Mechanik</t>
  </si>
  <si>
    <t>02.01.03|Neue Anforderung MMI Basic</t>
  </si>
  <si>
    <t>02.06.01|Review und Freigabe Pflichtenheft</t>
  </si>
  <si>
    <t>02.07.01|Produktion</t>
  </si>
  <si>
    <t>03.02.01|Elektronik</t>
  </si>
  <si>
    <t>03.02.02|Konstruktion</t>
  </si>
  <si>
    <t>03.02.03|Software</t>
  </si>
  <si>
    <t>03.02.04|Applikation</t>
  </si>
  <si>
    <t>03.03.01|Elektronik</t>
  </si>
  <si>
    <t>03.03.02|Konstruktion</t>
  </si>
  <si>
    <t>03.03.03|Software</t>
  </si>
  <si>
    <t>03.03.04|Applikation</t>
  </si>
  <si>
    <t>03.04.01|Elektronik</t>
  </si>
  <si>
    <t>03.04.02|Software</t>
  </si>
  <si>
    <t>05.01|Innendienst</t>
  </si>
  <si>
    <t>05.02|Aussendienst</t>
  </si>
  <si>
    <t>01|PEP</t>
  </si>
  <si>
    <t>01.10050.01|SET_Modbus</t>
  </si>
  <si>
    <t>01.10050.02|SET_PMC405_SetLog4.0</t>
  </si>
  <si>
    <t>01.10050.03|SET_P203_SetLog4.0</t>
  </si>
  <si>
    <t>01.19392.02|Kerres_02</t>
  </si>
  <si>
    <t>01.19392.03|Kerres_03</t>
  </si>
  <si>
    <t>01.19392_01|Kerres_01</t>
  </si>
  <si>
    <t>01.21322|Motan</t>
  </si>
  <si>
    <t>01.40001|WAGO CZ</t>
  </si>
  <si>
    <t>01.40002.01|Homag - Schulung 1</t>
  </si>
  <si>
    <t>01.40002.02|Homag - Schulung 2</t>
  </si>
  <si>
    <t>01.70294.01|Sakkas_01</t>
  </si>
  <si>
    <t>02|Kunden Schulungen</t>
  </si>
  <si>
    <t>01.01|Allgemeines</t>
  </si>
  <si>
    <t>02.01|Allgemeines</t>
  </si>
  <si>
    <t>04.01|Allgemeines</t>
  </si>
  <si>
    <t>05.01|Allgemeines</t>
  </si>
  <si>
    <t>02.08|TE-SW anpassung SVN</t>
  </si>
  <si>
    <t>01.02|Öffnen Lokaler Links</t>
  </si>
  <si>
    <t>01.03|Workaround Umlaute Local Explorer</t>
  </si>
  <si>
    <t>03|Entwicklungsphase und Konstruktionsphase CM211.1</t>
  </si>
  <si>
    <t>03.01.02|Redesign 211.1 (P2087-5)</t>
  </si>
  <si>
    <t>01.01.01|Fa. Krone</t>
  </si>
  <si>
    <t>02.01.04|Bestückung BLP</t>
  </si>
  <si>
    <t>03.01.01|Untersuchung der PowerFail Zeiten</t>
  </si>
  <si>
    <t>03.01.02|ÄM: Umstellung DC/DC-Wandler in der FE/QS</t>
  </si>
  <si>
    <t>03.01.03|Redesign wegen Power Fail Problem</t>
  </si>
  <si>
    <t>03.01.04|Beschaffung PCB</t>
  </si>
  <si>
    <t>03.01.05|Inbetriebnahme</t>
  </si>
  <si>
    <t>03.01.06|Stückliste umstellen</t>
  </si>
  <si>
    <t>03.01.07|EMV Endprüfung</t>
  </si>
  <si>
    <t>03.02.01|5,7" QVGA und VGA</t>
  </si>
  <si>
    <t>03.02.01.01|PMC405Q/ED/CS2/elrest/L (Serie)</t>
  </si>
  <si>
    <t>03.02.01.02|PMC405Q/CS3/TV/elrest/L</t>
  </si>
  <si>
    <t>03.02.01.03|PMC405Q/ED/CS2/Motan</t>
  </si>
  <si>
    <t>03.02.01.04|PMC405Q/ED-CS2/CS3-TV/Motan</t>
  </si>
  <si>
    <t>03.02.01.05|PMC405Q/ED/CS2/elrest</t>
  </si>
  <si>
    <t>03.02.01.06|PMC405Q/CS3/TV/elrest (Idee)</t>
  </si>
  <si>
    <t>03.02.01.07|PMC405Q/ED/CS2/Büchi</t>
  </si>
  <si>
    <t>03.02.01.08|PMC405V/ED/CS2/elrest</t>
  </si>
  <si>
    <t>03.02.01.09|PMC405V/CS3/TV/elrest</t>
  </si>
  <si>
    <t>03.02.01.10|PMC405Q/ED/CS2/elrest/T</t>
  </si>
  <si>
    <t>03.02.02|6,4" VGA (640x480)</t>
  </si>
  <si>
    <t>03.02.02.01|PMC406V/ED/CS2/elrest</t>
  </si>
  <si>
    <t>03.02.02.02|PMC406V/Krone</t>
  </si>
  <si>
    <t>03.02.03|8,4" VGA (640x480)-offen</t>
  </si>
  <si>
    <t>03.02.03.01|PMC408V/ED/CS2/elrest</t>
  </si>
  <si>
    <t>03.02.03.02|PMC408V/CS3/TV/elrest (Idee)</t>
  </si>
  <si>
    <t>03.02.03.03|PMC408V/ED/CS2/Dornier</t>
  </si>
  <si>
    <t>03.02.03.04|PMC408V/ED/CS2/Kerres</t>
  </si>
  <si>
    <t>03.02.04|8,4" SVGA(800x600)-offen</t>
  </si>
  <si>
    <t>03.02.04.01|PMC408S/ED/CS2/elrest</t>
  </si>
  <si>
    <t>03.02.04.02|PMC408S/CS3/TV/elrest (Idee)</t>
  </si>
  <si>
    <t>03.02.04.03|PMC408S/ED/CS2/IDEA</t>
  </si>
  <si>
    <t>03.02.05|10,4" VGA - PMC410</t>
  </si>
  <si>
    <t>03.02.05.01|PMC410V/ED/CS2/elrest</t>
  </si>
  <si>
    <t>03.02.05.02|PMC410V/CS3/TV/elrest</t>
  </si>
  <si>
    <t>03.02.05.03|PMC410V/Krone</t>
  </si>
  <si>
    <t>03.02.05.04|PMC410V/Mawera</t>
  </si>
  <si>
    <t>03.02.06|10,4" SVGA - PMC410S-offen</t>
  </si>
  <si>
    <t>03.02.06.01|PMC410S/ED/CS2/elrest</t>
  </si>
  <si>
    <t>03.02.06.02|PMC410S/CS3/TV/elrest</t>
  </si>
  <si>
    <t>03.04.01|Dokumentation PMC405 Motan</t>
  </si>
  <si>
    <t>03.04.02|Dokumentation PMC405 Motan CS3</t>
  </si>
  <si>
    <t>03.04.03|Dokumentation PMC406_PMC410 Krone</t>
  </si>
  <si>
    <t>03.04.04|Dokumentation PMC410 Mawera</t>
  </si>
  <si>
    <t>03.04.05|Dokumentation PMC4xx</t>
  </si>
  <si>
    <t>02.01|Wichtige Termine</t>
  </si>
  <si>
    <t>03.01.01|Wichtige Termine</t>
  </si>
  <si>
    <t>03.02|visio-AOPT350, 570 (Cortex-A8) WEB-Panel</t>
  </si>
  <si>
    <t>03.02.01|Redesign P4026-3 ==&gt; P4081-0 (Umstellung auf LVDS Dispay 5" und 7")</t>
  </si>
  <si>
    <t>03.03|Messe-Geräte</t>
  </si>
  <si>
    <t>03.04|visio-PTE404, 407 (Cortex-A8) WEB-Panel</t>
  </si>
  <si>
    <t>03.04.01|visio-PTE407-CAP-TOUCH mit P4081-0 und PTE404 mit P4042-0</t>
  </si>
  <si>
    <t>03.05|ASYS 24711.1000 / AOPT 350</t>
  </si>
  <si>
    <t>03.06|ASYS 24791.1000 / AOPT 570</t>
  </si>
  <si>
    <t>03.07|SW Lösungen AOPT</t>
  </si>
  <si>
    <t>03.90|Voruntersuchung Vötsch-Panel</t>
  </si>
  <si>
    <t>05.01|Voraussetzungen</t>
  </si>
  <si>
    <t>05.02|Inbetriebnahme in der Fertigung</t>
  </si>
  <si>
    <t>05.03|Endkontrolle</t>
  </si>
  <si>
    <t>06.01|Prototype</t>
  </si>
  <si>
    <t>06.01.01|Materialbeschaffung 6 W</t>
  </si>
  <si>
    <t>06.01.02|Fertigung</t>
  </si>
  <si>
    <t>06.01.03|Termin Lagerverfügbarkeit</t>
  </si>
  <si>
    <t>06.02|Serie ASYS (nach Bestelleingang)</t>
  </si>
  <si>
    <t>06.03|Serie elrest PTE4xx Geräte</t>
  </si>
  <si>
    <t>1.|Redesign PCB 4026-1 mit allen Bestellunterlagen</t>
  </si>
  <si>
    <t>03.01.01|Design</t>
  </si>
  <si>
    <t>03.01.02|Erstes Redesign P4084-2</t>
  </si>
  <si>
    <t>03.01.02.01|Schaltplan überarbeiten</t>
  </si>
  <si>
    <t>03.01.02.02|PCB anpassen inkl. Optimierung für Fertigung</t>
  </si>
  <si>
    <t>03.01.02.03|Gesamtstücklisten anpassen und übergeben</t>
  </si>
  <si>
    <t>03.01.02.05|Materialbeschaffung Leiterplatte</t>
  </si>
  <si>
    <t>03.01.02.06|Fertigung Leiterplatte</t>
  </si>
  <si>
    <t>03.01.02.08|Schaltplan-Review P4084-2</t>
  </si>
  <si>
    <t>03.01.03|Zweites Redesign</t>
  </si>
  <si>
    <t>03.01.03.01|Schaltplan überarbeiten</t>
  </si>
  <si>
    <t>03.01.03.02|PCB anpassen inkl. Optimierung für Fertigung</t>
  </si>
  <si>
    <t>03.01.03.03|Gesamtstücklisten anpassen und übergeben</t>
  </si>
  <si>
    <t>03.01.03.05|Materialbeschaffung Leiterplatte</t>
  </si>
  <si>
    <t>03.01.03.06|Fertigung Leiterplatte</t>
  </si>
  <si>
    <t>03.01.03.07|Inbetriebnahme und Validierung</t>
  </si>
  <si>
    <t>03.02.01|OS</t>
  </si>
  <si>
    <t>03.02.01.01|Grundsystem mit Bootloader für iMX6</t>
  </si>
  <si>
    <t>03.02.01.02|Grundsystem für x86 (Debian/Qt5.9.x/xorg)</t>
  </si>
  <si>
    <t>03.02.01.03|Prozessorunabhängige Anpassungen</t>
  </si>
  <si>
    <t>03.02.01.04|Update</t>
  </si>
  <si>
    <t>03.02.01.05|Inbetriebnahme / Anpassung neue HW</t>
  </si>
  <si>
    <t>03.02.01.06|Anpassungen / Korrekturen aus SW Paket 02</t>
  </si>
  <si>
    <t>03.02.01.97|Nachentwicklung OS x86</t>
  </si>
  <si>
    <t>03.02.01.98|Nachentwicklung OS</t>
  </si>
  <si>
    <t>03.02.01.99|Nachentwicklung OS SW Paket 03</t>
  </si>
  <si>
    <t>03.02.02|Systemprogramme SW Paket 01</t>
  </si>
  <si>
    <t>03.02.02.01|WebBrowser</t>
  </si>
  <si>
    <t>03.02.02.02|WBM</t>
  </si>
  <si>
    <t>03.02.02.03|Virtuelle Tastatur</t>
  </si>
  <si>
    <t>03.02.02.04|Kommunikationsüberwachung</t>
  </si>
  <si>
    <t>03.02.02.05|Schnellstartleiste</t>
  </si>
  <si>
    <t>03.02.02.06|Bildschirmreinigung</t>
  </si>
  <si>
    <t>03.02.02.07|URL-Auswahlliste</t>
  </si>
  <si>
    <t>03.02.02.08|Webkit Browser</t>
  </si>
  <si>
    <t>03.02.02.09|VNC Client</t>
  </si>
  <si>
    <t>03.02.02.10|PDF Viewer</t>
  </si>
  <si>
    <t>03.02.02.11|Anpassungen an Qt5.9.x / x86</t>
  </si>
  <si>
    <t>03.02.02.12|Anpassung WBM x86</t>
  </si>
  <si>
    <t>03.02.02.13|Fertigunstools</t>
  </si>
  <si>
    <t>03.02.02.14|Anpassungen / Korrekturen aus SW Paket 02</t>
  </si>
  <si>
    <t>03.02.02.98|Nachentwicklung Systemprogramme</t>
  </si>
  <si>
    <t>03.02.02.99|Nachentwicklung Systemprogramme SW Paket 03</t>
  </si>
  <si>
    <t>03.03.01|Mechanik anpassen PTE510</t>
  </si>
  <si>
    <t>03.03.02|Mechanik anpassen PTE507 und PTE510</t>
  </si>
  <si>
    <t>03.03.03|Wärmekonzept für PTE715</t>
  </si>
  <si>
    <t>03.03.04|PTE715 Mechanik für neues Display anpassen</t>
  </si>
  <si>
    <t>03.03.05|PTE715 Mechank für neues Display beschaffen</t>
  </si>
  <si>
    <t>03.05.01|EMV Vorprüfungen</t>
  </si>
  <si>
    <t>03.05.01.01|Intern</t>
  </si>
  <si>
    <t>03.05.01.02|Extern (Einstrahlung/Abstrahlung)</t>
  </si>
  <si>
    <t>03.05.01.03|Intern</t>
  </si>
  <si>
    <t>03.05.01.04|Extern (Einstrahlung/Abstrahlung)</t>
  </si>
  <si>
    <t>03.05.01.05|Intern</t>
  </si>
  <si>
    <t>03.05.01.06|Extern (Einstrahlung/Abstrahlung)</t>
  </si>
  <si>
    <t>03.05.02|EMV Endprüfungen (F-7.1-300)</t>
  </si>
  <si>
    <t>03.05.02.01|EMV Endprüfungen PTE507 (F-7.1-300) kann entfallen</t>
  </si>
  <si>
    <t>03.05.02.02|EMV Endprüfungen PTE510 (F-7.1-300)</t>
  </si>
  <si>
    <t>03.05.02.03|EMV Endprüfungen PTE715 (F-7.1-300)</t>
  </si>
  <si>
    <t>03.06.01|Umwelt Vorprüfungen</t>
  </si>
  <si>
    <t>03.06.01.01|Umweltetest Vorprüfungen PTE507 (Temp., Dichtigkeit)</t>
  </si>
  <si>
    <t>03.06.01.02|Umweltetest Vorprüfungen PTE510 (Temp., Dichtigkeit)</t>
  </si>
  <si>
    <t>03.06.01.03|Umweltetest Vorprüfungen PTE715 (Temp., Dichtigkeit)</t>
  </si>
  <si>
    <t>03.06.02|Umwelt Endprüfungen</t>
  </si>
  <si>
    <t>03.06.02.01|Umwelttest-Durchführung intern</t>
  </si>
  <si>
    <t>03.06.02.02|Umwelttest-Durchführung extern (Wird nicht durchgeführt)</t>
  </si>
  <si>
    <t>03.06.02.03|Umwelttest-Durchführung intern</t>
  </si>
  <si>
    <t>03.06.02.04|Umwelttest-Durchführung extern (Rüttel-/Schüttel-/Falltest)</t>
  </si>
  <si>
    <t>03.06.02.05|Umwelttest-Durchführung intern</t>
  </si>
  <si>
    <t>03.06.02.06|Umwelttest-Durchführung extern</t>
  </si>
  <si>
    <t>03.10.01|Gerätebeschreibung Prototyp / PTE715</t>
  </si>
  <si>
    <t>03.10.03|Datenblätter PTE507/510/715 erstellen</t>
  </si>
  <si>
    <t>03.10.04|Beipackzettel PTE507/510/715 erstellen</t>
  </si>
  <si>
    <t>03.12.01|Projektleitung</t>
  </si>
  <si>
    <t>03.13.01|PSV PTE507/510 (HW Vorserie / SW Paket 02) durchführen</t>
  </si>
  <si>
    <t>03.13.02|PSV PTE507/510 (HW Serie / SW Paket 03) durchführen</t>
  </si>
  <si>
    <t>03.13.03|PSV Serie PTE715 durchführen</t>
  </si>
  <si>
    <t>01.08|Ersatz für DDR2 AS4C128M16D2-25BIN-WTP2xx</t>
  </si>
  <si>
    <t>01.09|Ersatz für 10"Display-WTP210/E</t>
  </si>
  <si>
    <t>01.10|Neues Image und SW-Paket bauen</t>
  </si>
  <si>
    <t>02.03.01|Pflichtenheft Entwurf erstellen (Endtermin 26.05)</t>
  </si>
  <si>
    <t>02.03.02|SW Pflichtenheft erstellen</t>
  </si>
  <si>
    <t>02.03.03|Review und Freigabe Pflichtenheft</t>
  </si>
  <si>
    <t>03.01.01|RMC5xx (DIMM-SOC)</t>
  </si>
  <si>
    <t>03.01.01.01| Design1 (Prototyp)  P4071-0</t>
  </si>
  <si>
    <t>03.01.01.02|Design2 (Prototype)=&gt; P4071-1</t>
  </si>
  <si>
    <t>03.01.01.03|Design3 (Vorserie)=&gt; P4071-2 (aktuell)</t>
  </si>
  <si>
    <t>03.01.01.04|Design4 (Serie)=&gt; P4071-3 (Redesign)</t>
  </si>
  <si>
    <t>03.01.02|RIO501-Baseboard-32xDin-32xDout</t>
  </si>
  <si>
    <t>03.01.02.01| Design1 (Prototyp) =&gt; P4072-0(aktuell)</t>
  </si>
  <si>
    <t>03.01.02.02|Design2 (Serie) =&gt; P4072-2</t>
  </si>
  <si>
    <t>03.01.03|RIO511-Baseboard-16xAin-16xAout</t>
  </si>
  <si>
    <t>03.01.03.01| Design1 (Prototyp)  =&gt;P4073-0</t>
  </si>
  <si>
    <t>03.01.03.02|Design2 (Prototyp)  =&gt;P4073-1 (aktuell)</t>
  </si>
  <si>
    <t>03.01.03.03|Design3 (Serie)=&gt; P4073-2</t>
  </si>
  <si>
    <t>03.02.01|Basisplattform Linux</t>
  </si>
  <si>
    <t>03.02.01.01|Bootloader</t>
  </si>
  <si>
    <t>03.02.01.02|Kernel</t>
  </si>
  <si>
    <t>03.02.01.03|Linux Basissoftware</t>
  </si>
  <si>
    <t>03.02.01.04|FPGA Switch Treiber (Softing)</t>
  </si>
  <si>
    <t>03.02.01.05|FPGA-Ethernet-Treiber (Gbit)</t>
  </si>
  <si>
    <t>03.02.01.06| FPGA-RS485-Treiber</t>
  </si>
  <si>
    <t>03.02.01.07| HPS-CAN-Treiber</t>
  </si>
  <si>
    <t>03.02.01.08| FPGA-IO-Treiber</t>
  </si>
  <si>
    <t>03.02.01.09|EEPROM-Treiber</t>
  </si>
  <si>
    <t>03.02.01.10|RTC-Treiber</t>
  </si>
  <si>
    <t>03.02.01.11| PowerFail-Treiber</t>
  </si>
  <si>
    <t>03.02.01.12|SD-Karten Treiber</t>
  </si>
  <si>
    <t>03.02.01.13|USB Update</t>
  </si>
  <si>
    <t>03.02.01.14|UART RS232/RS485 Treiber</t>
  </si>
  <si>
    <t>03.02.01.15| DualBoot</t>
  </si>
  <si>
    <t>03.02.01.16| Temperaturfühler-Treiber</t>
  </si>
  <si>
    <t>03.02.01.17| Retain-Speicher-Treiber</t>
  </si>
  <si>
    <t>03.02.01.18| CAN</t>
  </si>
  <si>
    <t>03.02.01.19|JTAG-Treiber (JAM)</t>
  </si>
  <si>
    <t>03.02.01.20|Retain sichern (Flash/FRAM) 1MB -&gt;512kB</t>
  </si>
  <si>
    <t>03.02.01.22|RS485 Problem lösen</t>
  </si>
  <si>
    <t>03.02.01.23|DualCore</t>
  </si>
  <si>
    <t>03.02.01.24|Profinet (ohne 48kB Begrenzung)</t>
  </si>
  <si>
    <t>03.02.02|FPGA</t>
  </si>
  <si>
    <t>03.02.02.01|Projekt einrichten, Pin-Planer, Timing Analyser</t>
  </si>
  <si>
    <t>03.02.02.02|SoC Basisprojekt</t>
  </si>
  <si>
    <t>03.02.02.03|Fritz-Bus</t>
  </si>
  <si>
    <t>03.02.02.04|Switch Intergration in VHDL</t>
  </si>
  <si>
    <t>03.02.02.05|Reset Logik</t>
  </si>
  <si>
    <t>03.02.02.07|LEDs (CAN, STATUS, RSxx…)</t>
  </si>
  <si>
    <t>03.02.02.08|Integration IPs (UART, Switch, Profinet,…)</t>
  </si>
  <si>
    <t>03.02.02.09|Anpassungen nach Redesign  P4071-2</t>
  </si>
  <si>
    <t>03.02.03|Systemprogramme</t>
  </si>
  <si>
    <t>03.02.03.01| LED-Server-Komponente</t>
  </si>
  <si>
    <t>03.02.03.02|WBM</t>
  </si>
  <si>
    <t>03.02.03.03|WSC Server Componente</t>
  </si>
  <si>
    <t>03.02.04|Kallibrierung und Verifizierung</t>
  </si>
  <si>
    <t>03.02.04.01|Tcl-Scripte anpassen</t>
  </si>
  <si>
    <t>03.02.05|Neues Konzept für schnelleres Kalibrieren</t>
  </si>
  <si>
    <t>03.02.06|Runtime CODESYS V3.5</t>
  </si>
  <si>
    <t>03.02.06.01|SysHwAccess-Komponente</t>
  </si>
  <si>
    <t>03.02.06.02| WebServer-Komponente</t>
  </si>
  <si>
    <t>03.02.06.03|WSServer-Komponente</t>
  </si>
  <si>
    <t>03.02.06.04|ParameterServer (IP-Adr., MAC, etc.)</t>
  </si>
  <si>
    <t>03.02.06.05| Parameter-Dienste</t>
  </si>
  <si>
    <t>03.02.06.06|Fritzbus-IO-Treiber</t>
  </si>
  <si>
    <t>03.02.06.07|Bibliothek LibIO</t>
  </si>
  <si>
    <t>03.02.06.08|Benutzerverwaltung</t>
  </si>
  <si>
    <t>03.02.06.09|Anpassungen auf SP12</t>
  </si>
  <si>
    <t>03.02.07|CS3 IDE</t>
  </si>
  <si>
    <t>03.02.07.01|Installationspaket</t>
  </si>
  <si>
    <t>03.02.07.02|ParameterServer-Bibliothek</t>
  </si>
  <si>
    <t>03.02.07.03|SystemParameter-Bibliothek</t>
  </si>
  <si>
    <t>03.03.01|Erstellen DB/Beipackzettel</t>
  </si>
  <si>
    <t>03.03.02|Erstellen GB</t>
  </si>
  <si>
    <t>03.04.01|PSV RMC500 Abnahmeprüfung nach Redesign  P4071-3</t>
  </si>
  <si>
    <t>03.04.02|PSV RMC503 Abnahmeprüfung nach Redesign  P4073-2</t>
  </si>
  <si>
    <t>04.01.01|Prototyp RMC500</t>
  </si>
  <si>
    <t>04.01.01.01|Mechanik  RMC500 Prototyp</t>
  </si>
  <si>
    <t>04.01.01.02|Kühlkonzept  RMC500</t>
  </si>
  <si>
    <t>04.01.01.03|Inbetriebnahme und Validierung RMC500 Prototyp</t>
  </si>
  <si>
    <t>04.01.01.04|Fertigstellung der ersten Prototypen RMC500 Prototyp</t>
  </si>
  <si>
    <t>04.01.01.05|EMV Vorprüfung (ohne ETH-GBit, RS485, RS232)</t>
  </si>
  <si>
    <t>04.01.01.06|EMV Prüfung P4071-2 (mit ETH-GBit, RS485, RS232)</t>
  </si>
  <si>
    <t>04.01.01.07|EMV extern (Einstrahlung) RMC500 Prototyp</t>
  </si>
  <si>
    <t>04.01.01.08|Umweltprüfungen RMC500 Prototyp</t>
  </si>
  <si>
    <t>04.01.01.09|UL Vorbereitungen für Abnahme RMC500 Prototyp</t>
  </si>
  <si>
    <t>04.01.02|Serie RMC500</t>
  </si>
  <si>
    <t>04.01.02.01|Mechanik anpassen Serie</t>
  </si>
  <si>
    <t>04.01.02.02|EMV Vorprüfung intern mit P4071-2</t>
  </si>
  <si>
    <t>04.01.02.03|EMV Abstrahlung extern mit P4071-2</t>
  </si>
  <si>
    <t>04.01.02.04|EMV Endprüfung intern mit P4071-3</t>
  </si>
  <si>
    <t>04.01.02.05|EMV Abstrahlung extern mit P4071-3</t>
  </si>
  <si>
    <t>04.01.02.06|Materialbeschaffung Seriengerät Serie</t>
  </si>
  <si>
    <t>04.01.02.07|Inbetriebnahme und Validierung Serie</t>
  </si>
  <si>
    <t>04.01.02.08|Dokumentation EG Konformitätserklärung erstellen Serie</t>
  </si>
  <si>
    <t>04.01.02.09|Dokumentation Herstellererklärung erstellen Serie</t>
  </si>
  <si>
    <t>04.01.02.10|Funktionsmuster Serie</t>
  </si>
  <si>
    <t>04.01.02.11|Serienfreigabe FE,MW,QS,VT (CL-7.1-107) Serie</t>
  </si>
  <si>
    <t>04.02.01|Prototyp RMC501</t>
  </si>
  <si>
    <t>04.02.01.01|Mechanik  RMC501</t>
  </si>
  <si>
    <t>04.02.01.02|Kühlkonzept  RMC501</t>
  </si>
  <si>
    <t>04.02.01.03|Inbetriebnahme und Validierung RMC501</t>
  </si>
  <si>
    <t>04.02.01.04|Fertigstellung der ersten Prototypen RMC501</t>
  </si>
  <si>
    <t>04.02.01.05|UL Vorbereitungen RMC501</t>
  </si>
  <si>
    <t>04.02.01.06|Fertigungsbetrachtung - Probleme ermitteln RMC501</t>
  </si>
  <si>
    <t>04.02.02|Serie RMC501</t>
  </si>
  <si>
    <t>04.02.02.01|Mechanik anpassen RMC501 Serie</t>
  </si>
  <si>
    <t>04.02.02.02|Inbetriebnahme und Validierung RMC501 Serie</t>
  </si>
  <si>
    <t>04.02.02.03|EMV Endprüfungen (F-7.1-300) RMC501 Serie</t>
  </si>
  <si>
    <t>04.02.02.05|Dokumentation EG Konformitätserklärung erstellen RMC501  Serie</t>
  </si>
  <si>
    <t>04.02.02.06|Dokumentation Herstellererklärung erstellen RMC501 Serie</t>
  </si>
  <si>
    <t>04.02.02.07|Funktionsmuster RMC501 Serie</t>
  </si>
  <si>
    <t>04.02.02.08|Serienfreigabe FE,MW,QS,VT (CL-7.1-107) RMC501 Serie</t>
  </si>
  <si>
    <t>04.02.03.04|Umwelt Prüfungen RMC503 Serie</t>
  </si>
  <si>
    <t>04.03.01|Prototyp RMC503</t>
  </si>
  <si>
    <t>04.03.01.01|Mechanik RMC503 Prototyp</t>
  </si>
  <si>
    <t>04.03.01.02|Inbetriebnahme und Validierung RMC503 Prototyp</t>
  </si>
  <si>
    <t>04.03.01.03|Fertigstellung der ersten Prototypen RMC503 Prototyp</t>
  </si>
  <si>
    <t>04.03.01.04|EMV Vorprüfung (inkl. RMC501 Schnittstellen)</t>
  </si>
  <si>
    <t>04.03.02|Vorserie RMC503</t>
  </si>
  <si>
    <t>04.03.02.01|Mechanik anpassen RMC503 Vorserie</t>
  </si>
  <si>
    <t>04.03.02.03|EMV Vorprüfung extern RMC503 mit P4071-2 (Referenzmessung und Einstrahlung)</t>
  </si>
  <si>
    <t>04.03.02.04|Umwelt Vorprüfungen</t>
  </si>
  <si>
    <t>04.03.03|Serie RMC503</t>
  </si>
  <si>
    <t>04.03.03.01|EMV intern</t>
  </si>
  <si>
    <t>04.03.03.03|EMV Endprüfungen extern (Abstrahlung, Einstrahlung, Ehernet-Leitungsgeführt)</t>
  </si>
  <si>
    <t>04.03.03.04|Dokumentation EG Konformitätserklärung erstellen RMC503 Serie</t>
  </si>
  <si>
    <t>04.03.03.05|Dokumentation Herstellererklärung erstellen RMC503 Serie</t>
  </si>
  <si>
    <t>04.03.03.06|Funktionsmuster RMC503 Serie</t>
  </si>
  <si>
    <t>04.03.03.07|Serienfreigabe FE,MW,QS,VT (CL-7.1-107) RMC503 Serie</t>
  </si>
  <si>
    <t>01.01|Lastenheft erstellen</t>
  </si>
  <si>
    <t>01.02|Lastenheft Review</t>
  </si>
  <si>
    <t>01.03|Projektstart</t>
  </si>
  <si>
    <t>01.04|Entwicklungsantrag stellen</t>
  </si>
  <si>
    <t>02.01|Projektteam festlegen</t>
  </si>
  <si>
    <t>02.02|Technisches Konzept erarbeiten</t>
  </si>
  <si>
    <t>02.03|Pflichtenheft</t>
  </si>
  <si>
    <t>02.03.01|Pflichtenheft erstellen</t>
  </si>
  <si>
    <t>02.03.02|Review und Freigabe Pflichtenheft</t>
  </si>
  <si>
    <t>03.01.01|1. Design (1. Prototypen) (DU-7.1-105)</t>
  </si>
  <si>
    <t>03.01.01.01|Schaltplan erstellen 1. Prototyp</t>
  </si>
  <si>
    <t>03.01.01.02|PCB erstellen 1. Prototyp</t>
  </si>
  <si>
    <t>03.01.01.03|Gesamtstücklisten erstellt 1. Prototyp</t>
  </si>
  <si>
    <t>03.01.01.04|Übergabe der Bestellunterlagen1. Prototyp</t>
  </si>
  <si>
    <t>03.01.01.05|Materialverfügbarkeit prüfen und Vor-Kalkulation durchführen 1. Prototyp</t>
  </si>
  <si>
    <t>03.01.01.06|Materialbeschaffung Muster Phase1</t>
  </si>
  <si>
    <t>03.01.01.07|Materialbeschaffung Muster Phase2</t>
  </si>
  <si>
    <t>03.01.01.08|Leiterplatten-Fertigungsdaten übergeben (DU-7.3-310)</t>
  </si>
  <si>
    <t>03.01.01.09|SMT-Prototypen / Erstplatine (CL-7.5-617)</t>
  </si>
  <si>
    <t>03.01.01.10|Mechanik anpassen (z.B. Deckel)</t>
  </si>
  <si>
    <t>03.01.01.11|Stückliste erstellen 1. Prototyp</t>
  </si>
  <si>
    <t>03.01.01.12|Fertigung 1. Prototyp</t>
  </si>
  <si>
    <t>03.01.01.13|Inbetriebnahme und Validierung 1. Prototyp</t>
  </si>
  <si>
    <t>03.01.01.14|EMV Vorprüfungen 1. Prototyp</t>
  </si>
  <si>
    <t>03.01.03|Design der Serie</t>
  </si>
  <si>
    <t>03.01.03.01|Schaltplan überarbeiten Serie</t>
  </si>
  <si>
    <t>03.01.03.02|PCB anpassen Serie</t>
  </si>
  <si>
    <t>03.01.03.03|Gesamtstücklisten anpassen Serie</t>
  </si>
  <si>
    <t>03.01.03.04|Übergabe der Bestellunterlagen Serie</t>
  </si>
  <si>
    <t>03.01.03.05|Materialbeschaffung Serie Serie</t>
  </si>
  <si>
    <t>03.01.03.06|Fertigung Serie</t>
  </si>
  <si>
    <t>03.01.03.07|Inbetriebnahme und Validierung Serie</t>
  </si>
  <si>
    <t>03.01.03.08|EMV Endprüfungen (F-7.1-300) Serie</t>
  </si>
  <si>
    <t>03.01.03.09|Dokumentation EG Konformitätserklärung erstellen Serie</t>
  </si>
  <si>
    <t>03.01.03.10|Dokumentation Herstellererklärung erstellen Serie</t>
  </si>
  <si>
    <t>03.01.03.11|Serienfreigabe FE,MW,QS,VT (CL-7.1-107)</t>
  </si>
  <si>
    <t>03.02|Entwicklung Software durchführen</t>
  </si>
  <si>
    <t>03.02.01|FPGA Entwicklung</t>
  </si>
  <si>
    <t>03.02.01.01|Basissystem erstellen Qsys</t>
  </si>
  <si>
    <t>03.02.01.02|Basissystem erstellen NIOS</t>
  </si>
  <si>
    <t>03.02.01.03|Integration F-Bus</t>
  </si>
  <si>
    <t>03.02.01.04|Hypermemory -&gt;openMOS</t>
  </si>
  <si>
    <t>03.02.01.05|LED-Treiber</t>
  </si>
  <si>
    <t>03.02.02|Systemsoftware</t>
  </si>
  <si>
    <t>03.02.02.01|3S Sourcen anpassen</t>
  </si>
  <si>
    <t>03.02.02.02|CAN Treiber</t>
  </si>
  <si>
    <t>03.02.02.03|EDS Dateien erstellen</t>
  </si>
  <si>
    <t>03.02.02.04|Objektverzeichnis erstellen</t>
  </si>
  <si>
    <t>03.02.02.05|F-Bus Anbindung</t>
  </si>
  <si>
    <t>03.02.02.06|Status-LEDs</t>
  </si>
  <si>
    <t>03.02.02.07|Temperatursensor</t>
  </si>
  <si>
    <t>03.02.02.08|EEPROM</t>
  </si>
  <si>
    <t>03.02.02.09|HEX-Schalter</t>
  </si>
  <si>
    <t>03.02.02.10|CANopen Slave Funktionalität</t>
  </si>
  <si>
    <t>03.02.02.11|Fertigungskomponente</t>
  </si>
  <si>
    <t>03.02.02.12|I²C Komponente</t>
  </si>
  <si>
    <t>03.02.03|Integrationstest Prototyp</t>
  </si>
  <si>
    <t>03.02.04|Softwarenachentwicklung Prototyp</t>
  </si>
  <si>
    <t>03.02.05|Softwareanpassung zur Serie</t>
  </si>
  <si>
    <t>03.02.06|Integrationstest Serie</t>
  </si>
  <si>
    <t>03.02.07|Softwarenachentwicklung Serie</t>
  </si>
  <si>
    <t>03.04|Anpassungen durchführen für RSC203</t>
  </si>
  <si>
    <t>03.04.01|Mechanik anpassen RSC203</t>
  </si>
  <si>
    <t>03.04.02|Software anpassen RSC203</t>
  </si>
  <si>
    <t>05.03.01|Material / Kaufteile disponieren Prototype RSC203</t>
  </si>
  <si>
    <t>05.03.02|Material / Kaufteile disponieren RSC203</t>
  </si>
  <si>
    <t>1.|Design (1. Prototypen) (DU-7.1-105)</t>
  </si>
  <si>
    <t>3.1.1|Design PCB Prototyp FR4 (kein Starrflex)</t>
  </si>
  <si>
    <t>3.10.1|Termine</t>
  </si>
  <si>
    <t>3.10.2|Phase1: Bibliothek erstellen</t>
  </si>
  <si>
    <t>3.10.3|Phase2: Applikationsanwendung "Energie" und "Homing"</t>
  </si>
  <si>
    <t>3.10.4|Phase3: Applikationsanwendung "Räuchern"</t>
  </si>
  <si>
    <t>3.8.1|Integration von IPs MAX10</t>
  </si>
  <si>
    <t>3.9.1|Betriebssystem</t>
  </si>
  <si>
    <t>3.9.2|Systemsoftware</t>
  </si>
  <si>
    <t>3.9.3|Runtime</t>
  </si>
  <si>
    <t>3.9.4|Applikation/HMI-&gt;DEVEKOS</t>
  </si>
  <si>
    <t>03.01|Evaluierungsphase</t>
  </si>
  <si>
    <t>03.02|Hardware Elektronik</t>
  </si>
  <si>
    <t>02.01|Projektvorbereitung</t>
  </si>
  <si>
    <t>02.03|Einarbeitung in die bestehende Softwarestruktur</t>
  </si>
  <si>
    <t>02.04|Einarbeitung in die Stromlaufpläne</t>
  </si>
  <si>
    <t>03.01|Neues PCB für den 750-761</t>
  </si>
  <si>
    <t>CmpWSServer</t>
  </si>
  <si>
    <t>Lizenz</t>
  </si>
  <si>
    <t>Webenginebrowser, PDF</t>
  </si>
  <si>
    <t>Technotrans</t>
  </si>
  <si>
    <t>CoDeSysRuntime, webVISU</t>
  </si>
  <si>
    <t>03.10.02|Gerätebeschreibung Serie erstellen (Englisch)</t>
  </si>
  <si>
    <t>03.99|QS Reisende</t>
  </si>
  <si>
    <t>01|Kundensupport</t>
  </si>
  <si>
    <t>01.01|TE-AP</t>
  </si>
  <si>
    <t>01|Messe SPS Drives</t>
  </si>
  <si>
    <t>01.01|Messe Vorbereitung</t>
  </si>
  <si>
    <t>01.02|Exponate erstellen</t>
  </si>
  <si>
    <t>01.03|Messedienst</t>
  </si>
  <si>
    <t>G</t>
  </si>
  <si>
    <t>03.02.01.25|Nachentwicklung</t>
  </si>
  <si>
    <t>3.1.2|Redesign wegen Fehler</t>
  </si>
  <si>
    <t>3.1.3|Weiterentwicklung Starrflex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</si>
</sst>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mmmm\ yy"/>
    <numFmt numFmtId="165" formatCode="_-* #,##0.00\ _€_-;\-* #,##0.00\ _€_-;_-* \-??\ _€_-;_-@_-"/>
    <numFmt numFmtId="166" formatCode="_-* #,##0.00&quot; €&quot;_-;\-* #,##0.00&quot; €&quot;_-;_-* \-??&quot; €&quot;_-;_-@_-"/>
    <numFmt numFmtId="167" formatCode="_(&quot;$&quot;* #,##0.00_);_(&quot;$&quot;* \(#,##0.00\);_(&quot;$&quot;* &quot;-&quot;??_);_(@_)"/>
    <numFmt numFmtId="168" formatCode="_(* #,##0.00_);_(* \(#,##0.00\);_(* &quot;-&quot;??_);_(@_)"/>
    <numFmt numFmtId="169" formatCode="_([$€]* #,##0.00_);_([$€]* \(#,##0.00\);_([$€]* &quot;-&quot;??_);_(@_)"/>
    <numFmt numFmtId="170" formatCode="_(* #,##0.00\ &quot;€&quot;_);_(* \(#,##0.00\)\ &quot;€&quot;;_(&quot;€&quot;* &quot;-&quot;??_);_(@_)"/>
  </numFmts>
  <fonts count="52" x14ac:knownFonts="1">
    <font>
      <sz val="10"/>
      <name val="Arial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7"/>
      <name val="Arial"/>
      <family val="2"/>
    </font>
    <font>
      <b/>
      <i/>
      <sz val="14"/>
      <name val="Arial"/>
      <family val="2"/>
    </font>
    <font>
      <b/>
      <i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4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sz val="14"/>
      <color indexed="9"/>
      <name val="Arial"/>
      <family val="2"/>
    </font>
    <font>
      <b/>
      <i/>
      <sz val="13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b/>
      <sz val="6"/>
      <name val="Arial"/>
      <family val="2"/>
    </font>
    <font>
      <u/>
      <sz val="7.5"/>
      <color indexed="12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2"/>
      <color indexed="39"/>
      <name val="Arial"/>
      <family val="2"/>
    </font>
    <font>
      <sz val="12"/>
      <color indexed="39"/>
      <name val="Arial"/>
      <family val="2"/>
    </font>
    <font>
      <i/>
      <sz val="12"/>
      <color indexed="39"/>
      <name val="Arial"/>
      <family val="2"/>
    </font>
    <font>
      <b/>
      <u/>
      <sz val="12"/>
      <color indexed="39"/>
      <name val="Arial"/>
      <family val="2"/>
    </font>
    <font>
      <b/>
      <sz val="12"/>
      <color indexed="12"/>
      <name val="Arial"/>
      <family val="2"/>
    </font>
    <font>
      <b/>
      <sz val="11"/>
      <color indexed="63"/>
      <name val="Calibri"/>
      <family val="2"/>
    </font>
    <font>
      <sz val="11"/>
      <color indexed="20"/>
      <name val="Calibri"/>
      <family val="2"/>
    </font>
    <font>
      <u/>
      <sz val="11"/>
      <color indexed="12"/>
      <name val="Calibri"/>
      <family val="2"/>
    </font>
    <font>
      <u/>
      <sz val="10"/>
      <color indexed="12"/>
      <name val="Arial"/>
      <family val="2"/>
    </font>
    <font>
      <sz val="11"/>
      <color indexed="8"/>
      <name val="Arial"/>
      <family val="2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sz val="11"/>
      <color theme="0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rgb="FF3F3F3F"/>
      <name val="Arial"/>
      <family val="2"/>
    </font>
    <font>
      <sz val="11"/>
      <color rgb="FF0061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Calibri"/>
      <family val="2"/>
    </font>
    <font>
      <sz val="11"/>
      <color indexed="60"/>
      <name val="Calibri"/>
      <family val="2"/>
      <scheme val="minor"/>
    </font>
    <font>
      <sz val="11"/>
      <color theme="1"/>
      <name val="Arial"/>
      <family val="2"/>
    </font>
    <font>
      <sz val="10"/>
      <color theme="0"/>
      <name val="Arial"/>
      <family val="2"/>
    </font>
    <font>
      <b/>
      <sz val="12"/>
      <color rgb="FF006600"/>
      <name val="Arial"/>
      <family val="2"/>
    </font>
    <font>
      <sz val="10"/>
      <color rgb="FFFF0000"/>
      <name val="Arial"/>
      <family val="2"/>
    </font>
    <font>
      <sz val="8"/>
      <color theme="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22"/>
        <bgColor indexed="31"/>
      </patternFill>
    </fill>
    <fill>
      <patternFill patternType="solid">
        <fgColor indexed="22"/>
      </patternFill>
    </fill>
    <fill>
      <patternFill patternType="solid">
        <fgColor indexed="42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22"/>
      </patternFill>
    </fill>
    <fill>
      <patternFill patternType="solid">
        <fgColor theme="6"/>
      </patternFill>
    </fill>
    <fill>
      <patternFill patternType="solid">
        <fgColor rgb="FFF2F2F2"/>
      </patternFill>
    </fill>
    <fill>
      <patternFill patternType="solid">
        <fgColor rgb="FFFFEB9C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249977111117893"/>
        <bgColor indexed="22"/>
      </patternFill>
    </fill>
    <fill>
      <patternFill patternType="solid">
        <fgColor rgb="FF663300"/>
        <bgColor theme="1"/>
      </patternFill>
    </fill>
    <fill>
      <patternFill patternType="solid">
        <fgColor rgb="FF33333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</fills>
  <borders count="98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dotted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double">
        <color indexed="64"/>
      </right>
      <top style="medium">
        <color indexed="64"/>
      </top>
      <bottom style="thick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double">
        <color indexed="64"/>
      </right>
      <top style="thick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hair">
        <color indexed="64"/>
      </top>
      <bottom style="double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hair">
        <color indexed="64"/>
      </left>
      <right style="thick">
        <color indexed="64"/>
      </right>
      <top/>
      <bottom style="double">
        <color indexed="64"/>
      </bottom>
      <diagonal/>
    </border>
    <border>
      <left/>
      <right/>
      <top/>
      <bottom style="hair">
        <color indexed="64"/>
      </bottom>
      <diagonal/>
    </border>
  </borders>
  <cellStyleXfs count="68">
    <xf numFmtId="0" fontId="0" fillId="0" borderId="0"/>
    <xf numFmtId="0" fontId="40" fillId="13" borderId="0" applyNumberFormat="0" applyBorder="0" applyAlignment="0" applyProtection="0"/>
    <xf numFmtId="0" fontId="33" fillId="3" borderId="1" applyNumberFormat="0" applyAlignment="0" applyProtection="0"/>
    <xf numFmtId="0" fontId="42" fillId="14" borderId="89" applyNumberFormat="0" applyAlignment="0" applyProtection="0"/>
    <xf numFmtId="0" fontId="41" fillId="4" borderId="89" applyNumberFormat="0" applyAlignment="0" applyProtection="0"/>
    <xf numFmtId="165" fontId="1" fillId="0" borderId="0" applyFill="0" applyBorder="0" applyAlignment="0" applyProtection="0"/>
    <xf numFmtId="43" fontId="1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0" fontId="33" fillId="3" borderId="1" applyNumberFormat="0" applyAlignment="0" applyProtection="0"/>
    <xf numFmtId="0" fontId="43" fillId="5" borderId="0" applyNumberFormat="0" applyBorder="0" applyAlignment="0" applyProtection="0"/>
    <xf numFmtId="0" fontId="3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/>
    <xf numFmtId="43" fontId="27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7" fillId="0" borderId="0" applyFont="0" applyFill="0" applyBorder="0" applyAlignment="0" applyProtection="0"/>
    <xf numFmtId="168" fontId="3" fillId="0" borderId="0" applyFont="0" applyFill="0" applyBorder="0" applyAlignment="0" applyProtection="0"/>
    <xf numFmtId="165" fontId="1" fillId="0" borderId="0" applyFill="0" applyBorder="0" applyAlignment="0" applyProtection="0"/>
    <xf numFmtId="43" fontId="3" fillId="0" borderId="0" applyFon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46" fillId="15" borderId="0" applyNumberFormat="0" applyBorder="0" applyAlignment="0" applyProtection="0"/>
    <xf numFmtId="9" fontId="3" fillId="0" borderId="0" applyFont="0" applyFill="0" applyBorder="0" applyAlignment="0" applyProtection="0"/>
    <xf numFmtId="9" fontId="1" fillId="0" borderId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ill="0" applyBorder="0" applyAlignment="0" applyProtection="0"/>
    <xf numFmtId="0" fontId="34" fillId="2" borderId="0" applyNumberFormat="0" applyBorder="0" applyAlignment="0" applyProtection="0"/>
    <xf numFmtId="0" fontId="1" fillId="0" borderId="0"/>
    <xf numFmtId="0" fontId="3" fillId="0" borderId="0"/>
    <xf numFmtId="0" fontId="39" fillId="0" borderId="0"/>
    <xf numFmtId="0" fontId="3" fillId="0" borderId="0"/>
    <xf numFmtId="0" fontId="3" fillId="0" borderId="0"/>
    <xf numFmtId="0" fontId="47" fillId="0" borderId="0"/>
    <xf numFmtId="0" fontId="39" fillId="0" borderId="0"/>
    <xf numFmtId="0" fontId="39" fillId="0" borderId="0"/>
    <xf numFmtId="0" fontId="3" fillId="0" borderId="0"/>
    <xf numFmtId="0" fontId="47" fillId="0" borderId="0"/>
    <xf numFmtId="0" fontId="3" fillId="0" borderId="0"/>
    <xf numFmtId="0" fontId="38" fillId="0" borderId="0"/>
    <xf numFmtId="0" fontId="3" fillId="0" borderId="0"/>
    <xf numFmtId="166" fontId="1" fillId="0" borderId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70" fontId="37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70" fontId="37" fillId="0" borderId="0" applyFont="0" applyFill="0" applyBorder="0" applyAlignment="0" applyProtection="0"/>
    <xf numFmtId="167" fontId="3" fillId="0" borderId="0" applyFont="0" applyFill="0" applyBorder="0" applyAlignment="0" applyProtection="0"/>
  </cellStyleXfs>
  <cellXfs count="216">
    <xf numFmtId="0" fontId="0" fillId="0" borderId="0" xfId="0"/>
    <xf numFmtId="2" fontId="0" fillId="0" borderId="2" xfId="0" applyNumberFormat="1" applyBorder="1" applyAlignment="1" applyProtection="1">
      <alignment horizontal="center" vertical="center"/>
    </xf>
    <xf numFmtId="0" fontId="7" fillId="0" borderId="3" xfId="0" applyFont="1" applyBorder="1" applyAlignment="1" applyProtection="1">
      <alignment horizontal="left" vertical="center"/>
    </xf>
    <xf numFmtId="2" fontId="10" fillId="0" borderId="4" xfId="0" applyNumberFormat="1" applyFont="1" applyBorder="1" applyAlignment="1" applyProtection="1">
      <alignment horizontal="center" vertical="center"/>
    </xf>
    <xf numFmtId="2" fontId="10" fillId="6" borderId="5" xfId="0" quotePrefix="1" applyNumberFormat="1" applyFont="1" applyFill="1" applyBorder="1" applyAlignment="1" applyProtection="1">
      <alignment horizontal="center" vertical="center"/>
    </xf>
    <xf numFmtId="20" fontId="10" fillId="6" borderId="0" xfId="0" applyNumberFormat="1" applyFont="1" applyFill="1" applyAlignment="1" applyProtection="1">
      <alignment horizontal="center" vertical="center" textRotation="90"/>
    </xf>
    <xf numFmtId="20" fontId="10" fillId="6" borderId="6" xfId="0" applyNumberFormat="1" applyFont="1" applyFill="1" applyBorder="1" applyAlignment="1" applyProtection="1">
      <alignment horizontal="center" vertical="center" textRotation="90"/>
    </xf>
    <xf numFmtId="0" fontId="0" fillId="0" borderId="0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2" fontId="10" fillId="0" borderId="7" xfId="0" applyNumberFormat="1" applyFont="1" applyFill="1" applyBorder="1" applyAlignment="1" applyProtection="1">
      <alignment horizontal="center" vertical="center"/>
    </xf>
    <xf numFmtId="0" fontId="15" fillId="0" borderId="0" xfId="0" applyFont="1" applyBorder="1" applyAlignment="1" applyProtection="1">
      <alignment horizontal="left" vertical="center" wrapText="1"/>
    </xf>
    <xf numFmtId="0" fontId="17" fillId="0" borderId="9" xfId="0" quotePrefix="1" applyNumberFormat="1" applyFont="1" applyBorder="1" applyAlignment="1" applyProtection="1">
      <alignment horizontal="center" vertical="center"/>
    </xf>
    <xf numFmtId="2" fontId="0" fillId="0" borderId="10" xfId="0" applyNumberFormat="1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/>
    </xf>
    <xf numFmtId="0" fontId="0" fillId="0" borderId="0" xfId="0" applyBorder="1" applyAlignment="1" applyProtection="1">
      <alignment horizontal="center" vertical="center"/>
    </xf>
    <xf numFmtId="2" fontId="10" fillId="0" borderId="11" xfId="0" applyNumberFormat="1" applyFont="1" applyBorder="1" applyAlignment="1" applyProtection="1">
      <alignment horizontal="center" vertical="center"/>
    </xf>
    <xf numFmtId="2" fontId="0" fillId="0" borderId="12" xfId="0" applyNumberFormat="1" applyBorder="1" applyAlignment="1" applyProtection="1">
      <alignment horizontal="center" vertical="center"/>
    </xf>
    <xf numFmtId="2" fontId="10" fillId="0" borderId="13" xfId="0" applyNumberFormat="1" applyFont="1" applyBorder="1" applyAlignment="1" applyProtection="1">
      <alignment horizontal="center" vertical="center"/>
    </xf>
    <xf numFmtId="2" fontId="9" fillId="0" borderId="14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Continuous" vertical="center"/>
    </xf>
    <xf numFmtId="2" fontId="19" fillId="9" borderId="15" xfId="0" applyNumberFormat="1" applyFont="1" applyFill="1" applyBorder="1" applyAlignment="1" applyProtection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2" fontId="13" fillId="7" borderId="2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left" vertical="center" wrapText="1" indent="1"/>
    </xf>
    <xf numFmtId="0" fontId="13" fillId="0" borderId="7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20" fontId="13" fillId="0" borderId="7" xfId="0" applyNumberFormat="1" applyFont="1" applyBorder="1" applyAlignment="1">
      <alignment horizontal="center" vertical="center"/>
    </xf>
    <xf numFmtId="20" fontId="13" fillId="0" borderId="12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 textRotation="180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20" fontId="13" fillId="0" borderId="23" xfId="0" applyNumberFormat="1" applyFont="1" applyBorder="1" applyAlignment="1">
      <alignment horizontal="center" vertical="center"/>
    </xf>
    <xf numFmtId="20" fontId="13" fillId="0" borderId="25" xfId="0" applyNumberFormat="1" applyFont="1" applyBorder="1" applyAlignment="1">
      <alignment horizontal="center" vertical="center"/>
    </xf>
    <xf numFmtId="0" fontId="8" fillId="0" borderId="0" xfId="0" applyNumberFormat="1" applyFont="1" applyBorder="1" applyAlignment="1" applyProtection="1">
      <alignment horizontal="left" vertical="center"/>
      <protection locked="0"/>
    </xf>
    <xf numFmtId="0" fontId="12" fillId="0" borderId="0" xfId="0" applyFont="1"/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20" fontId="13" fillId="0" borderId="26" xfId="0" applyNumberFormat="1" applyFont="1" applyBorder="1" applyAlignment="1">
      <alignment horizontal="center" vertical="center"/>
    </xf>
    <xf numFmtId="20" fontId="13" fillId="0" borderId="28" xfId="0" applyNumberFormat="1" applyFont="1" applyBorder="1" applyAlignment="1">
      <alignment horizontal="center" vertical="center"/>
    </xf>
    <xf numFmtId="0" fontId="12" fillId="0" borderId="0" xfId="0" applyFont="1" applyBorder="1"/>
    <xf numFmtId="0" fontId="13" fillId="0" borderId="0" xfId="0" applyFont="1"/>
    <xf numFmtId="0" fontId="14" fillId="0" borderId="0" xfId="0" applyFont="1" applyAlignment="1">
      <alignment horizontal="right" vertical="center"/>
    </xf>
    <xf numFmtId="49" fontId="0" fillId="0" borderId="0" xfId="0" applyNumberFormat="1"/>
    <xf numFmtId="0" fontId="7" fillId="7" borderId="0" xfId="0" applyFont="1" applyFill="1" applyBorder="1" applyAlignment="1">
      <alignment horizontal="left" vertical="center"/>
    </xf>
    <xf numFmtId="0" fontId="0" fillId="7" borderId="0" xfId="0" applyFill="1" applyBorder="1" applyAlignment="1"/>
    <xf numFmtId="0" fontId="5" fillId="7" borderId="0" xfId="0" applyFont="1" applyFill="1" applyBorder="1" applyAlignment="1" applyProtection="1">
      <alignment horizontal="right" vertical="center"/>
      <protection locked="0"/>
    </xf>
    <xf numFmtId="0" fontId="9" fillId="7" borderId="0" xfId="0" applyFont="1" applyFill="1" applyBorder="1" applyAlignment="1" applyProtection="1">
      <alignment horizontal="right" vertical="center"/>
      <protection locked="0"/>
    </xf>
    <xf numFmtId="49" fontId="11" fillId="7" borderId="0" xfId="0" applyNumberFormat="1" applyFont="1" applyFill="1" applyBorder="1" applyAlignment="1" applyProtection="1">
      <alignment horizontal="left" vertical="center"/>
      <protection locked="0"/>
    </xf>
    <xf numFmtId="49" fontId="8" fillId="7" borderId="0" xfId="0" applyNumberFormat="1" applyFont="1" applyFill="1" applyBorder="1" applyAlignment="1" applyProtection="1">
      <alignment horizontal="left" vertical="center"/>
      <protection locked="0"/>
    </xf>
    <xf numFmtId="0" fontId="0" fillId="7" borderId="0" xfId="0" applyFill="1"/>
    <xf numFmtId="0" fontId="21" fillId="7" borderId="0" xfId="0" applyFont="1" applyFill="1" applyBorder="1" applyAlignment="1">
      <alignment horizontal="center" vertical="center"/>
    </xf>
    <xf numFmtId="0" fontId="21" fillId="7" borderId="29" xfId="0" applyFont="1" applyFill="1" applyBorder="1" applyAlignment="1">
      <alignment horizontal="center" vertical="center"/>
    </xf>
    <xf numFmtId="0" fontId="21" fillId="7" borderId="30" xfId="0" applyFont="1" applyFill="1" applyBorder="1" applyAlignment="1">
      <alignment horizontal="center" vertical="center"/>
    </xf>
    <xf numFmtId="0" fontId="21" fillId="7" borderId="30" xfId="0" applyFont="1" applyFill="1" applyBorder="1" applyAlignment="1">
      <alignment horizontal="center" vertical="center" wrapText="1"/>
    </xf>
    <xf numFmtId="0" fontId="21" fillId="7" borderId="31" xfId="0" applyFont="1" applyFill="1" applyBorder="1" applyAlignment="1">
      <alignment horizontal="center" vertical="center" wrapText="1"/>
    </xf>
    <xf numFmtId="0" fontId="9" fillId="7" borderId="0" xfId="0" applyFont="1" applyFill="1" applyBorder="1" applyAlignment="1">
      <alignment horizontal="right"/>
    </xf>
    <xf numFmtId="20" fontId="22" fillId="7" borderId="32" xfId="0" applyNumberFormat="1" applyFont="1" applyFill="1" applyBorder="1" applyAlignment="1">
      <alignment horizontal="left" indent="1"/>
    </xf>
    <xf numFmtId="0" fontId="13" fillId="7" borderId="32" xfId="0" applyFont="1" applyFill="1" applyBorder="1" applyAlignment="1"/>
    <xf numFmtId="0" fontId="21" fillId="7" borderId="32" xfId="0" applyFont="1" applyFill="1" applyBorder="1" applyAlignment="1" applyProtection="1">
      <alignment horizontal="right"/>
      <protection locked="0"/>
    </xf>
    <xf numFmtId="0" fontId="9" fillId="7" borderId="0" xfId="0" applyFont="1" applyFill="1" applyBorder="1" applyAlignment="1" applyProtection="1">
      <alignment horizontal="right"/>
      <protection locked="0"/>
    </xf>
    <xf numFmtId="49" fontId="22" fillId="7" borderId="32" xfId="0" applyNumberFormat="1" applyFont="1" applyFill="1" applyBorder="1" applyAlignment="1">
      <alignment horizontal="left" indent="1"/>
    </xf>
    <xf numFmtId="0" fontId="22" fillId="7" borderId="32" xfId="0" applyFont="1" applyFill="1" applyBorder="1" applyAlignment="1">
      <alignment horizontal="left" indent="1"/>
    </xf>
    <xf numFmtId="0" fontId="22" fillId="7" borderId="33" xfId="0" applyFont="1" applyFill="1" applyBorder="1" applyAlignment="1">
      <alignment horizontal="left" vertical="center" indent="1"/>
    </xf>
    <xf numFmtId="20" fontId="10" fillId="0" borderId="12" xfId="0" applyNumberFormat="1" applyFont="1" applyBorder="1" applyAlignment="1">
      <alignment horizontal="center" vertical="center"/>
    </xf>
    <xf numFmtId="20" fontId="10" fillId="0" borderId="25" xfId="0" applyNumberFormat="1" applyFont="1" applyBorder="1" applyAlignment="1">
      <alignment horizontal="center" vertical="center"/>
    </xf>
    <xf numFmtId="20" fontId="10" fillId="0" borderId="28" xfId="0" applyNumberFormat="1" applyFont="1" applyBorder="1" applyAlignment="1">
      <alignment horizontal="center" vertical="center"/>
    </xf>
    <xf numFmtId="2" fontId="10" fillId="0" borderId="34" xfId="0" applyNumberFormat="1" applyFont="1" applyBorder="1" applyAlignment="1">
      <alignment horizontal="center" vertical="center"/>
    </xf>
    <xf numFmtId="20" fontId="10" fillId="8" borderId="5" xfId="0" quotePrefix="1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2" fontId="23" fillId="0" borderId="35" xfId="0" applyNumberFormat="1" applyFont="1" applyBorder="1" applyAlignment="1">
      <alignment horizontal="left" vertical="center" wrapText="1" indent="1"/>
    </xf>
    <xf numFmtId="20" fontId="10" fillId="0" borderId="36" xfId="0" applyNumberFormat="1" applyFont="1" applyBorder="1" applyAlignment="1">
      <alignment horizontal="center" vertical="center"/>
    </xf>
    <xf numFmtId="0" fontId="13" fillId="0" borderId="37" xfId="0" applyFont="1" applyBorder="1"/>
    <xf numFmtId="2" fontId="13" fillId="0" borderId="34" xfId="0" applyNumberFormat="1" applyFont="1" applyBorder="1" applyAlignment="1">
      <alignment horizontal="center" vertical="center"/>
    </xf>
    <xf numFmtId="2" fontId="13" fillId="0" borderId="38" xfId="0" applyNumberFormat="1" applyFont="1" applyBorder="1" applyAlignment="1">
      <alignment horizontal="center" vertical="center"/>
    </xf>
    <xf numFmtId="2" fontId="13" fillId="0" borderId="39" xfId="0" applyNumberFormat="1" applyFont="1" applyBorder="1" applyAlignment="1">
      <alignment horizontal="center" vertical="center"/>
    </xf>
    <xf numFmtId="2" fontId="10" fillId="0" borderId="40" xfId="0" applyNumberFormat="1" applyFont="1" applyBorder="1" applyAlignment="1" applyProtection="1">
      <alignment horizontal="center" vertical="center"/>
    </xf>
    <xf numFmtId="0" fontId="0" fillId="0" borderId="0" xfId="0" quotePrefix="1" applyAlignment="1" applyProtection="1">
      <alignment horizontal="center" vertical="center"/>
    </xf>
    <xf numFmtId="0" fontId="2" fillId="0" borderId="41" xfId="0" applyFont="1" applyFill="1" applyBorder="1" applyAlignment="1" applyProtection="1">
      <alignment horizontal="center" vertical="center"/>
    </xf>
    <xf numFmtId="0" fontId="2" fillId="0" borderId="42" xfId="0" applyFont="1" applyFill="1" applyBorder="1" applyAlignment="1" applyProtection="1">
      <alignment horizontal="center" vertical="center"/>
    </xf>
    <xf numFmtId="0" fontId="2" fillId="0" borderId="43" xfId="0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vertical="center"/>
    </xf>
    <xf numFmtId="2" fontId="0" fillId="0" borderId="44" xfId="0" applyNumberFormat="1" applyBorder="1" applyAlignment="1" applyProtection="1">
      <alignment vertical="center" textRotation="90"/>
    </xf>
    <xf numFmtId="0" fontId="0" fillId="0" borderId="44" xfId="0" applyBorder="1" applyAlignment="1" applyProtection="1">
      <alignment vertical="center" textRotation="90"/>
    </xf>
    <xf numFmtId="0" fontId="0" fillId="0" borderId="44" xfId="0" applyBorder="1" applyAlignment="1" applyProtection="1">
      <alignment vertical="center"/>
    </xf>
    <xf numFmtId="0" fontId="0" fillId="0" borderId="44" xfId="0" applyBorder="1" applyAlignment="1" applyProtection="1">
      <alignment horizontal="right" vertical="center"/>
    </xf>
    <xf numFmtId="0" fontId="0" fillId="8" borderId="45" xfId="0" applyFill="1" applyBorder="1" applyAlignment="1" applyProtection="1">
      <alignment vertical="center"/>
      <protection locked="0"/>
    </xf>
    <xf numFmtId="164" fontId="5" fillId="0" borderId="46" xfId="0" applyNumberFormat="1" applyFont="1" applyBorder="1" applyAlignment="1" applyProtection="1">
      <alignment horizontal="centerContinuous" vertical="center"/>
    </xf>
    <xf numFmtId="0" fontId="0" fillId="0" borderId="40" xfId="0" applyBorder="1" applyAlignment="1" applyProtection="1">
      <alignment vertical="center"/>
    </xf>
    <xf numFmtId="0" fontId="0" fillId="0" borderId="47" xfId="0" applyBorder="1" applyAlignment="1" applyProtection="1">
      <alignment vertical="center"/>
    </xf>
    <xf numFmtId="0" fontId="0" fillId="0" borderId="48" xfId="0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3" xfId="0" applyBorder="1" applyAlignment="1" applyProtection="1">
      <alignment horizontal="centerContinuous" vertical="center"/>
    </xf>
    <xf numFmtId="0" fontId="0" fillId="0" borderId="49" xfId="0" applyBorder="1" applyAlignment="1" applyProtection="1">
      <alignment horizontal="centerContinuous" vertical="center"/>
    </xf>
    <xf numFmtId="0" fontId="0" fillId="0" borderId="0" xfId="0" applyBorder="1" applyAlignment="1" applyProtection="1">
      <alignment horizontal="left" vertical="center"/>
    </xf>
    <xf numFmtId="0" fontId="0" fillId="0" borderId="0" xfId="0" applyBorder="1" applyAlignment="1" applyProtection="1">
      <alignment horizontal="centerContinuous" vertical="center"/>
    </xf>
    <xf numFmtId="0" fontId="5" fillId="0" borderId="0" xfId="0" applyFont="1" applyBorder="1" applyAlignment="1" applyProtection="1">
      <alignment horizontal="centerContinuous" vertical="center"/>
    </xf>
    <xf numFmtId="0" fontId="5" fillId="0" borderId="0" xfId="0" applyFont="1" applyBorder="1" applyAlignment="1" applyProtection="1">
      <alignment horizontal="right" vertical="center"/>
    </xf>
    <xf numFmtId="49" fontId="8" fillId="8" borderId="33" xfId="0" applyNumberFormat="1" applyFont="1" applyFill="1" applyBorder="1" applyAlignment="1" applyProtection="1">
      <alignment horizontal="left" vertical="center"/>
      <protection locked="0"/>
    </xf>
    <xf numFmtId="49" fontId="0" fillId="8" borderId="33" xfId="0" applyNumberFormat="1" applyFill="1" applyBorder="1" applyAlignment="1" applyProtection="1">
      <alignment horizontal="left" vertical="center"/>
      <protection locked="0"/>
    </xf>
    <xf numFmtId="49" fontId="5" fillId="0" borderId="33" xfId="0" applyNumberFormat="1" applyFont="1" applyFill="1" applyBorder="1" applyAlignment="1" applyProtection="1">
      <alignment horizontal="center" vertical="center"/>
    </xf>
    <xf numFmtId="0" fontId="0" fillId="0" borderId="50" xfId="0" applyBorder="1" applyAlignment="1" applyProtection="1">
      <alignment horizontal="centerContinuous" vertical="center"/>
    </xf>
    <xf numFmtId="0" fontId="2" fillId="0" borderId="51" xfId="0" applyFont="1" applyBorder="1" applyAlignment="1" applyProtection="1">
      <alignment horizontal="center" vertical="center"/>
    </xf>
    <xf numFmtId="0" fontId="2" fillId="0" borderId="52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17" fillId="0" borderId="0" xfId="0" applyFont="1" applyAlignment="1" applyProtection="1">
      <alignment vertical="center"/>
    </xf>
    <xf numFmtId="9" fontId="0" fillId="0" borderId="0" xfId="32" applyFont="1" applyAlignment="1" applyProtection="1">
      <alignment vertical="center"/>
    </xf>
    <xf numFmtId="20" fontId="0" fillId="0" borderId="0" xfId="0" applyNumberFormat="1" applyFill="1" applyBorder="1" applyAlignment="1" applyProtection="1">
      <alignment vertical="center"/>
    </xf>
    <xf numFmtId="20" fontId="0" fillId="0" borderId="0" xfId="0" applyNumberFormat="1" applyFill="1" applyBorder="1" applyAlignment="1" applyProtection="1">
      <alignment horizontal="right" vertical="center"/>
    </xf>
    <xf numFmtId="2" fontId="0" fillId="16" borderId="53" xfId="0" applyNumberFormat="1" applyFill="1" applyBorder="1" applyAlignment="1">
      <alignment horizontal="center" vertical="center"/>
    </xf>
    <xf numFmtId="43" fontId="12" fillId="0" borderId="0" xfId="18" quotePrefix="1" applyFont="1" applyFill="1" applyAlignment="1" applyProtection="1">
      <alignment horizontal="center" vertical="center"/>
    </xf>
    <xf numFmtId="2" fontId="2" fillId="0" borderId="0" xfId="0" applyNumberFormat="1" applyFont="1" applyFill="1" applyBorder="1" applyAlignment="1" applyProtection="1">
      <alignment horizontal="center" vertical="center"/>
    </xf>
    <xf numFmtId="20" fontId="3" fillId="8" borderId="54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55" xfId="0" applyFont="1" applyFill="1" applyBorder="1" applyAlignment="1" applyProtection="1">
      <alignment horizontal="center" vertical="center"/>
    </xf>
    <xf numFmtId="0" fontId="3" fillId="0" borderId="0" xfId="0" applyFont="1"/>
    <xf numFmtId="0" fontId="0" fillId="0" borderId="21" xfId="0" applyBorder="1" applyAlignment="1" applyProtection="1">
      <alignment vertical="center"/>
    </xf>
    <xf numFmtId="0" fontId="0" fillId="0" borderId="0" xfId="0" applyBorder="1" applyAlignment="1" applyProtection="1">
      <alignment vertical="center" wrapText="1"/>
    </xf>
    <xf numFmtId="0" fontId="3" fillId="17" borderId="53" xfId="0" applyFont="1" applyFill="1" applyBorder="1" applyAlignment="1">
      <alignment horizontal="left" vertical="top"/>
    </xf>
    <xf numFmtId="20" fontId="10" fillId="8" borderId="56" xfId="0" quotePrefix="1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</xf>
    <xf numFmtId="0" fontId="2" fillId="0" borderId="0" xfId="0" applyFont="1" applyBorder="1" applyAlignment="1" applyProtection="1">
      <alignment horizontal="left" vertical="center"/>
    </xf>
    <xf numFmtId="2" fontId="0" fillId="0" borderId="7" xfId="0" applyNumberFormat="1" applyBorder="1" applyAlignment="1" applyProtection="1">
      <alignment horizontal="center" vertical="center"/>
    </xf>
    <xf numFmtId="0" fontId="0" fillId="18" borderId="53" xfId="0" applyFill="1" applyBorder="1"/>
    <xf numFmtId="0" fontId="0" fillId="21" borderId="53" xfId="0" applyFill="1" applyBorder="1"/>
    <xf numFmtId="0" fontId="26" fillId="11" borderId="57" xfId="0" applyFont="1" applyFill="1" applyBorder="1" applyAlignment="1">
      <alignment horizontal="center" vertical="top" wrapText="1"/>
    </xf>
    <xf numFmtId="0" fontId="26" fillId="11" borderId="53" xfId="0" applyFont="1" applyFill="1" applyBorder="1" applyAlignment="1">
      <alignment horizontal="center" vertical="top" wrapText="1"/>
    </xf>
    <xf numFmtId="0" fontId="0" fillId="19" borderId="53" xfId="0" applyFill="1" applyBorder="1"/>
    <xf numFmtId="0" fontId="26" fillId="12" borderId="58" xfId="55" applyFont="1" applyFill="1" applyBorder="1" applyAlignment="1">
      <alignment horizontal="left" vertical="center" wrapText="1"/>
    </xf>
    <xf numFmtId="0" fontId="26" fillId="12" borderId="53" xfId="55" applyFont="1" applyFill="1" applyBorder="1" applyAlignment="1">
      <alignment horizontal="left" vertical="center" wrapText="1"/>
    </xf>
    <xf numFmtId="0" fontId="0" fillId="17" borderId="53" xfId="0" applyFill="1" applyBorder="1"/>
    <xf numFmtId="0" fontId="3" fillId="22" borderId="53" xfId="55" applyFont="1" applyFill="1" applyBorder="1" applyAlignment="1">
      <alignment vertical="center" wrapText="1"/>
    </xf>
    <xf numFmtId="0" fontId="48" fillId="23" borderId="53" xfId="0" applyFont="1" applyFill="1" applyBorder="1" applyAlignment="1">
      <alignment horizontal="left" vertical="top"/>
    </xf>
    <xf numFmtId="0" fontId="26" fillId="24" borderId="53" xfId="0" applyFont="1" applyFill="1" applyBorder="1" applyAlignment="1">
      <alignment horizontal="center" vertical="top" wrapText="1"/>
    </xf>
    <xf numFmtId="2" fontId="10" fillId="0" borderId="7" xfId="0" applyNumberFormat="1" applyFont="1" applyFill="1" applyBorder="1" applyAlignment="1" applyProtection="1">
      <alignment horizontal="center" vertical="center"/>
      <protection locked="0"/>
    </xf>
    <xf numFmtId="2" fontId="16" fillId="0" borderId="0" xfId="0" applyNumberFormat="1" applyFont="1" applyAlignment="1" applyProtection="1">
      <alignment horizontal="center" vertical="center"/>
    </xf>
    <xf numFmtId="0" fontId="3" fillId="22" borderId="53" xfId="55" applyFont="1" applyFill="1" applyBorder="1" applyAlignment="1">
      <alignment horizontal="left" vertical="center" wrapText="1"/>
    </xf>
    <xf numFmtId="0" fontId="3" fillId="0" borderId="0" xfId="0" applyFont="1" applyBorder="1" applyAlignment="1" applyProtection="1">
      <alignment vertical="center" wrapText="1"/>
    </xf>
    <xf numFmtId="0" fontId="3" fillId="10" borderId="53" xfId="0" applyFont="1" applyFill="1" applyBorder="1" applyAlignment="1">
      <alignment horizontal="left" vertical="center"/>
    </xf>
    <xf numFmtId="0" fontId="51" fillId="0" borderId="0" xfId="0" applyFont="1" applyAlignment="1" applyProtection="1">
      <alignment vertical="center"/>
    </xf>
    <xf numFmtId="0" fontId="51" fillId="0" borderId="0" xfId="0" applyFont="1" applyBorder="1" applyAlignment="1" applyProtection="1">
      <alignment vertical="center"/>
    </xf>
    <xf numFmtId="0" fontId="0" fillId="0" borderId="16" xfId="0" applyBorder="1" applyAlignment="1" applyProtection="1">
      <alignment horizontal="center" vertical="center"/>
    </xf>
    <xf numFmtId="2" fontId="9" fillId="7" borderId="67" xfId="0" applyNumberFormat="1" applyFont="1" applyFill="1" applyBorder="1" applyAlignment="1" applyProtection="1">
      <alignment horizontal="center" vertical="center"/>
    </xf>
    <xf numFmtId="0" fontId="5" fillId="7" borderId="90" xfId="0" applyFont="1" applyFill="1" applyBorder="1" applyAlignment="1" applyProtection="1">
      <alignment horizontal="center" vertical="center"/>
    </xf>
    <xf numFmtId="0" fontId="18" fillId="0" borderId="50" xfId="0" applyFont="1" applyBorder="1" applyAlignment="1" applyProtection="1">
      <alignment horizontal="center" vertical="center"/>
    </xf>
    <xf numFmtId="4" fontId="9" fillId="26" borderId="65" xfId="0" applyNumberFormat="1" applyFont="1" applyFill="1" applyBorder="1" applyAlignment="1" applyProtection="1">
      <alignment horizontal="center" vertical="center"/>
    </xf>
    <xf numFmtId="20" fontId="3" fillId="8" borderId="8" xfId="0" applyNumberFormat="1" applyFont="1" applyFill="1" applyBorder="1" applyAlignment="1" applyProtection="1">
      <alignment horizontal="center" vertical="center" textRotation="90"/>
      <protection locked="0"/>
    </xf>
    <xf numFmtId="0" fontId="2" fillId="0" borderId="0" xfId="0" applyFont="1"/>
    <xf numFmtId="0" fontId="0" fillId="10" borderId="91" xfId="0" applyFill="1" applyBorder="1" applyAlignment="1">
      <alignment horizontal="left" vertical="center" wrapText="1"/>
    </xf>
    <xf numFmtId="0" fontId="3" fillId="10" borderId="91" xfId="0" applyFont="1" applyFill="1" applyBorder="1" applyAlignment="1">
      <alignment horizontal="left" vertical="center" wrapText="1"/>
    </xf>
    <xf numFmtId="2" fontId="0" fillId="0" borderId="92" xfId="0" applyNumberFormat="1" applyBorder="1" applyAlignment="1" applyProtection="1">
      <alignment horizontal="center" vertical="center"/>
    </xf>
    <xf numFmtId="2" fontId="9" fillId="7" borderId="93" xfId="0" applyNumberFormat="1" applyFont="1" applyFill="1" applyBorder="1" applyAlignment="1" applyProtection="1">
      <alignment horizontal="center" vertical="center"/>
    </xf>
    <xf numFmtId="0" fontId="4" fillId="0" borderId="94" xfId="0" applyFont="1" applyBorder="1" applyAlignment="1" applyProtection="1">
      <alignment horizontal="center" vertical="center"/>
    </xf>
    <xf numFmtId="2" fontId="0" fillId="0" borderId="95" xfId="0" applyNumberFormat="1" applyBorder="1" applyAlignment="1" applyProtection="1">
      <alignment horizontal="center" vertical="center"/>
    </xf>
    <xf numFmtId="2" fontId="2" fillId="0" borderId="95" xfId="0" applyNumberFormat="1" applyFont="1" applyBorder="1" applyAlignment="1" applyProtection="1">
      <alignment horizontal="center" vertical="center"/>
    </xf>
    <xf numFmtId="9" fontId="2" fillId="0" borderId="96" xfId="32" applyFont="1" applyBorder="1" applyAlignment="1" applyProtection="1">
      <alignment horizontal="center" vertical="center"/>
    </xf>
    <xf numFmtId="2" fontId="0" fillId="0" borderId="53" xfId="0" applyNumberFormat="1" applyBorder="1" applyAlignment="1" applyProtection="1">
      <alignment horizontal="left" vertical="center"/>
    </xf>
    <xf numFmtId="2" fontId="25" fillId="27" borderId="53" xfId="29" applyNumberFormat="1" applyFont="1" applyFill="1" applyBorder="1" applyAlignment="1" applyProtection="1">
      <alignment horizontal="center" vertical="center" wrapText="1"/>
    </xf>
    <xf numFmtId="10" fontId="25" fillId="0" borderId="53" xfId="32" applyNumberFormat="1" applyFont="1" applyFill="1" applyBorder="1" applyAlignment="1" applyProtection="1">
      <alignment horizontal="center" vertical="center" wrapText="1"/>
    </xf>
    <xf numFmtId="2" fontId="10" fillId="0" borderId="97" xfId="0" applyNumberFormat="1" applyFont="1" applyFill="1" applyBorder="1" applyAlignment="1" applyProtection="1">
      <alignment horizontal="center" vertical="center"/>
      <protection locked="0"/>
    </xf>
    <xf numFmtId="2" fontId="0" fillId="0" borderId="50" xfId="0" applyNumberFormat="1" applyBorder="1" applyAlignment="1" applyProtection="1">
      <alignment horizontal="center" vertical="center"/>
    </xf>
    <xf numFmtId="0" fontId="9" fillId="0" borderId="64" xfId="0" applyFont="1" applyBorder="1" applyAlignment="1" applyProtection="1">
      <alignment horizontal="center" vertical="center"/>
    </xf>
    <xf numFmtId="0" fontId="9" fillId="0" borderId="66" xfId="0" applyFont="1" applyBorder="1" applyAlignment="1" applyProtection="1">
      <alignment horizontal="center" vertical="center"/>
    </xf>
    <xf numFmtId="46" fontId="17" fillId="0" borderId="64" xfId="0" applyNumberFormat="1" applyFont="1" applyBorder="1" applyAlignment="1" applyProtection="1">
      <alignment horizontal="center" vertical="center" wrapText="1"/>
    </xf>
    <xf numFmtId="46" fontId="17" fillId="0" borderId="66" xfId="0" applyNumberFormat="1" applyFont="1" applyBorder="1" applyAlignment="1" applyProtection="1">
      <alignment horizontal="center" vertical="center" wrapText="1"/>
    </xf>
    <xf numFmtId="0" fontId="8" fillId="8" borderId="33" xfId="0" applyNumberFormat="1" applyFont="1" applyFill="1" applyBorder="1" applyAlignment="1" applyProtection="1">
      <alignment horizontal="center" vertical="center"/>
      <protection locked="0"/>
    </xf>
    <xf numFmtId="1" fontId="0" fillId="0" borderId="65" xfId="0" applyNumberFormat="1" applyFill="1" applyBorder="1" applyAlignment="1" applyProtection="1">
      <alignment horizontal="left" vertical="center"/>
    </xf>
    <xf numFmtId="1" fontId="0" fillId="0" borderId="67" xfId="0" applyNumberFormat="1" applyFill="1" applyBorder="1" applyAlignment="1" applyProtection="1">
      <alignment horizontal="left" vertical="center"/>
    </xf>
    <xf numFmtId="0" fontId="15" fillId="0" borderId="64" xfId="0" applyFont="1" applyBorder="1" applyAlignment="1" applyProtection="1">
      <alignment horizontal="left" vertical="center"/>
    </xf>
    <xf numFmtId="0" fontId="15" fillId="0" borderId="65" xfId="0" applyFont="1" applyBorder="1" applyAlignment="1" applyProtection="1">
      <alignment horizontal="left" vertical="center"/>
    </xf>
    <xf numFmtId="0" fontId="15" fillId="0" borderId="67" xfId="0" applyFont="1" applyBorder="1" applyAlignment="1" applyProtection="1">
      <alignment horizontal="left" vertical="center"/>
    </xf>
    <xf numFmtId="0" fontId="15" fillId="0" borderId="64" xfId="0" applyFont="1" applyBorder="1" applyAlignment="1" applyProtection="1">
      <alignment horizontal="left" vertical="center" wrapText="1"/>
    </xf>
    <xf numFmtId="0" fontId="15" fillId="0" borderId="65" xfId="0" applyFont="1" applyBorder="1" applyAlignment="1" applyProtection="1">
      <alignment horizontal="left" vertical="center" wrapText="1"/>
    </xf>
    <xf numFmtId="0" fontId="15" fillId="0" borderId="67" xfId="0" applyFont="1" applyBorder="1" applyAlignment="1" applyProtection="1">
      <alignment horizontal="left" vertical="center" wrapText="1"/>
    </xf>
    <xf numFmtId="2" fontId="5" fillId="8" borderId="64" xfId="0" applyNumberFormat="1" applyFont="1" applyFill="1" applyBorder="1" applyAlignment="1" applyProtection="1">
      <alignment horizontal="center" vertical="center"/>
      <protection locked="0"/>
    </xf>
    <xf numFmtId="2" fontId="5" fillId="8" borderId="67" xfId="0" applyNumberFormat="1" applyFont="1" applyFill="1" applyBorder="1" applyAlignment="1" applyProtection="1">
      <alignment horizontal="center" vertical="center"/>
      <protection locked="0"/>
    </xf>
    <xf numFmtId="0" fontId="49" fillId="20" borderId="59" xfId="0" applyFont="1" applyFill="1" applyBorder="1" applyAlignment="1">
      <alignment horizontal="left"/>
    </xf>
    <xf numFmtId="0" fontId="49" fillId="20" borderId="0" xfId="0" applyFont="1" applyFill="1" applyBorder="1" applyAlignment="1">
      <alignment horizontal="left"/>
    </xf>
    <xf numFmtId="0" fontId="4" fillId="0" borderId="70" xfId="0" applyFont="1" applyBorder="1" applyAlignment="1" applyProtection="1">
      <alignment horizontal="center" vertical="center"/>
    </xf>
    <xf numFmtId="0" fontId="4" fillId="0" borderId="71" xfId="0" applyFont="1" applyBorder="1" applyAlignment="1" applyProtection="1">
      <alignment horizontal="center" vertical="center"/>
    </xf>
    <xf numFmtId="0" fontId="3" fillId="0" borderId="72" xfId="0" applyFont="1" applyFill="1" applyBorder="1" applyAlignment="1" applyProtection="1">
      <alignment horizontal="center" vertical="center"/>
    </xf>
    <xf numFmtId="0" fontId="0" fillId="0" borderId="73" xfId="0" applyFill="1" applyBorder="1" applyAlignment="1" applyProtection="1">
      <alignment horizontal="center" vertical="center"/>
    </xf>
    <xf numFmtId="0" fontId="2" fillId="0" borderId="60" xfId="0" applyFont="1" applyBorder="1" applyAlignment="1" applyProtection="1">
      <alignment horizontal="center" vertical="center"/>
    </xf>
    <xf numFmtId="0" fontId="2" fillId="0" borderId="61" xfId="0" applyFont="1" applyBorder="1" applyAlignment="1" applyProtection="1">
      <alignment horizontal="center" vertical="center"/>
    </xf>
    <xf numFmtId="0" fontId="2" fillId="0" borderId="62" xfId="0" applyFont="1" applyBorder="1" applyAlignment="1" applyProtection="1">
      <alignment horizontal="center" vertical="center"/>
    </xf>
    <xf numFmtId="0" fontId="2" fillId="0" borderId="63" xfId="0" applyFont="1" applyBorder="1" applyAlignment="1" applyProtection="1">
      <alignment horizontal="center" vertical="center"/>
    </xf>
    <xf numFmtId="0" fontId="2" fillId="0" borderId="80" xfId="0" applyFont="1" applyBorder="1" applyAlignment="1" applyProtection="1">
      <alignment horizontal="center" vertical="center"/>
    </xf>
    <xf numFmtId="0" fontId="2" fillId="0" borderId="81" xfId="0" applyFont="1" applyBorder="1" applyAlignment="1" applyProtection="1">
      <alignment horizontal="center" vertical="center"/>
    </xf>
    <xf numFmtId="0" fontId="2" fillId="0" borderId="76" xfId="0" applyFont="1" applyBorder="1" applyAlignment="1" applyProtection="1">
      <alignment horizontal="center" vertical="center"/>
    </xf>
    <xf numFmtId="0" fontId="2" fillId="0" borderId="77" xfId="0" applyFont="1" applyBorder="1" applyAlignment="1" applyProtection="1">
      <alignment horizontal="center" vertical="center"/>
    </xf>
    <xf numFmtId="0" fontId="5" fillId="0" borderId="74" xfId="0" applyFont="1" applyBorder="1" applyAlignment="1" applyProtection="1">
      <alignment horizontal="center" vertical="center"/>
    </xf>
    <xf numFmtId="0" fontId="5" fillId="0" borderId="75" xfId="0" applyFont="1" applyBorder="1" applyAlignment="1" applyProtection="1">
      <alignment horizontal="center" vertical="center"/>
    </xf>
    <xf numFmtId="0" fontId="5" fillId="0" borderId="82" xfId="0" applyFont="1" applyBorder="1" applyAlignment="1" applyProtection="1">
      <alignment horizontal="center" vertical="center"/>
    </xf>
    <xf numFmtId="0" fontId="5" fillId="0" borderId="83" xfId="0" applyFont="1" applyBorder="1" applyAlignment="1" applyProtection="1">
      <alignment horizontal="center" vertical="center"/>
    </xf>
    <xf numFmtId="0" fontId="0" fillId="6" borderId="84" xfId="0" applyFill="1" applyBorder="1" applyAlignment="1" applyProtection="1">
      <alignment horizontal="center" vertical="center" wrapText="1"/>
    </xf>
    <xf numFmtId="0" fontId="0" fillId="6" borderId="85" xfId="0" applyFill="1" applyBorder="1" applyAlignment="1" applyProtection="1">
      <alignment horizontal="center" vertical="center" wrapText="1"/>
    </xf>
    <xf numFmtId="0" fontId="0" fillId="6" borderId="35" xfId="0" applyFill="1" applyBorder="1" applyAlignment="1" applyProtection="1">
      <alignment horizontal="center" vertical="center" wrapText="1"/>
    </xf>
    <xf numFmtId="0" fontId="0" fillId="6" borderId="86" xfId="0" applyFill="1" applyBorder="1" applyAlignment="1" applyProtection="1">
      <alignment horizontal="center" vertical="center" wrapText="1"/>
    </xf>
    <xf numFmtId="0" fontId="14" fillId="0" borderId="87" xfId="0" applyFont="1" applyFill="1" applyBorder="1" applyAlignment="1" applyProtection="1">
      <alignment horizontal="center" vertical="center" wrapText="1"/>
    </xf>
    <xf numFmtId="0" fontId="14" fillId="0" borderId="88" xfId="0" applyFont="1" applyFill="1" applyBorder="1" applyAlignment="1" applyProtection="1">
      <alignment horizontal="center" vertical="center" wrapText="1"/>
    </xf>
    <xf numFmtId="0" fontId="0" fillId="25" borderId="72" xfId="0" applyFill="1" applyBorder="1" applyAlignment="1" applyProtection="1">
      <alignment horizontal="center" vertical="center"/>
    </xf>
    <xf numFmtId="0" fontId="0" fillId="25" borderId="73" xfId="0" applyFill="1" applyBorder="1" applyAlignment="1" applyProtection="1">
      <alignment horizontal="center" vertical="center"/>
    </xf>
    <xf numFmtId="0" fontId="2" fillId="0" borderId="64" xfId="0" applyFont="1" applyBorder="1" applyAlignment="1" applyProtection="1">
      <alignment horizontal="center" vertical="center"/>
    </xf>
    <xf numFmtId="0" fontId="2" fillId="0" borderId="66" xfId="0" applyFont="1" applyBorder="1" applyAlignment="1" applyProtection="1">
      <alignment horizontal="center" vertical="center"/>
    </xf>
    <xf numFmtId="0" fontId="2" fillId="0" borderId="68" xfId="0" applyFont="1" applyBorder="1" applyAlignment="1" applyProtection="1">
      <alignment horizontal="center" vertical="center"/>
    </xf>
    <xf numFmtId="0" fontId="2" fillId="0" borderId="69" xfId="0" applyFont="1" applyBorder="1" applyAlignment="1" applyProtection="1">
      <alignment horizontal="center" vertical="center"/>
    </xf>
    <xf numFmtId="0" fontId="50" fillId="0" borderId="78" xfId="0" applyFont="1" applyBorder="1" applyAlignment="1" applyProtection="1">
      <alignment horizontal="center" vertical="center"/>
    </xf>
    <xf numFmtId="0" fontId="50" fillId="0" borderId="79" xfId="0" applyFont="1" applyBorder="1" applyAlignment="1" applyProtection="1">
      <alignment horizontal="center" vertical="center"/>
    </xf>
    <xf numFmtId="0" fontId="20" fillId="7" borderId="64" xfId="0" applyFont="1" applyFill="1" applyBorder="1" applyAlignment="1">
      <alignment horizontal="center" vertical="center"/>
    </xf>
    <xf numFmtId="0" fontId="20" fillId="7" borderId="65" xfId="0" applyFont="1" applyFill="1" applyBorder="1" applyAlignment="1">
      <alignment horizontal="center" vertical="center"/>
    </xf>
    <xf numFmtId="0" fontId="20" fillId="7" borderId="67" xfId="0" applyFont="1" applyFill="1" applyBorder="1" applyAlignment="1">
      <alignment horizontal="center" vertical="center"/>
    </xf>
  </cellXfs>
  <cellStyles count="68">
    <cellStyle name="Akzent3 2" xfId="1" xr:uid="{00000000-0005-0000-0000-000000000000}"/>
    <cellStyle name="Ausgabe 2" xfId="2" xr:uid="{00000000-0005-0000-0000-000001000000}"/>
    <cellStyle name="Ausgabe 2 2" xfId="3" xr:uid="{00000000-0005-0000-0000-000002000000}"/>
    <cellStyle name="Ausgabe 3" xfId="4" xr:uid="{00000000-0005-0000-0000-000003000000}"/>
    <cellStyle name="Dezimal 2" xfId="5" xr:uid="{00000000-0005-0000-0000-000004000000}"/>
    <cellStyle name="Dezimal 2 2" xfId="6" xr:uid="{00000000-0005-0000-0000-000005000000}"/>
    <cellStyle name="Euro" xfId="7" xr:uid="{00000000-0005-0000-0000-000006000000}"/>
    <cellStyle name="Euro 2" xfId="8" xr:uid="{00000000-0005-0000-0000-000007000000}"/>
    <cellStyle name="Euro 3" xfId="9" xr:uid="{00000000-0005-0000-0000-000008000000}"/>
    <cellStyle name="Excel_BuiltIn_Ausgabe" xfId="10" xr:uid="{00000000-0005-0000-0000-000009000000}"/>
    <cellStyle name="Gut 2" xfId="11" xr:uid="{00000000-0005-0000-0000-00000A000000}"/>
    <cellStyle name="Hyperlink 2" xfId="12" xr:uid="{00000000-0005-0000-0000-00000B000000}"/>
    <cellStyle name="Hyperlink 2 2" xfId="13" xr:uid="{00000000-0005-0000-0000-00000C000000}"/>
    <cellStyle name="Hyperlink 3" xfId="14" xr:uid="{00000000-0005-0000-0000-00000D000000}"/>
    <cellStyle name="Hyperlink 3 2" xfId="15" xr:uid="{00000000-0005-0000-0000-00000E000000}"/>
    <cellStyle name="Hyperlink 4" xfId="16" xr:uid="{00000000-0005-0000-0000-00000F000000}"/>
    <cellStyle name="Hyperlink 5" xfId="17" xr:uid="{00000000-0005-0000-0000-000010000000}"/>
    <cellStyle name="Komma" xfId="18" builtinId="3"/>
    <cellStyle name="Komma 2" xfId="19" xr:uid="{00000000-0005-0000-0000-000012000000}"/>
    <cellStyle name="Komma 3" xfId="20" xr:uid="{00000000-0005-0000-0000-000013000000}"/>
    <cellStyle name="Komma 3 2" xfId="21" xr:uid="{00000000-0005-0000-0000-000014000000}"/>
    <cellStyle name="Komma 4" xfId="22" xr:uid="{00000000-0005-0000-0000-000015000000}"/>
    <cellStyle name="Komma 5" xfId="23" xr:uid="{00000000-0005-0000-0000-000016000000}"/>
    <cellStyle name="Komma 5 2" xfId="24" xr:uid="{00000000-0005-0000-0000-000017000000}"/>
    <cellStyle name="Komma 6" xfId="25" xr:uid="{00000000-0005-0000-0000-000018000000}"/>
    <cellStyle name="Komma 7" xfId="26" xr:uid="{00000000-0005-0000-0000-000019000000}"/>
    <cellStyle name="Komma 8" xfId="27" xr:uid="{00000000-0005-0000-0000-00001A000000}"/>
    <cellStyle name="Komma 9" xfId="28" xr:uid="{00000000-0005-0000-0000-00001B000000}"/>
    <cellStyle name="Link" xfId="29" builtinId="8"/>
    <cellStyle name="Link 3" xfId="30" xr:uid="{00000000-0005-0000-0000-00001D000000}"/>
    <cellStyle name="Neutral 2" xfId="31" xr:uid="{00000000-0005-0000-0000-00001E000000}"/>
    <cellStyle name="Prozent" xfId="32" builtinId="5"/>
    <cellStyle name="Prozent 2" xfId="33" xr:uid="{00000000-0005-0000-0000-000020000000}"/>
    <cellStyle name="Prozent 2 2" xfId="34" xr:uid="{00000000-0005-0000-0000-000021000000}"/>
    <cellStyle name="Prozent 2 3" xfId="35" xr:uid="{00000000-0005-0000-0000-000022000000}"/>
    <cellStyle name="Prozent 3" xfId="36" xr:uid="{00000000-0005-0000-0000-000023000000}"/>
    <cellStyle name="Prozent 4" xfId="37" xr:uid="{00000000-0005-0000-0000-000024000000}"/>
    <cellStyle name="Prozent 5" xfId="38" xr:uid="{00000000-0005-0000-0000-000025000000}"/>
    <cellStyle name="Prozent 5 2" xfId="39" xr:uid="{00000000-0005-0000-0000-000026000000}"/>
    <cellStyle name="Prozent 6" xfId="40" xr:uid="{00000000-0005-0000-0000-000027000000}"/>
    <cellStyle name="Prozent 7" xfId="41" xr:uid="{00000000-0005-0000-0000-000028000000}"/>
    <cellStyle name="Schlecht 2" xfId="42" xr:uid="{00000000-0005-0000-0000-000029000000}"/>
    <cellStyle name="Standard" xfId="0" builtinId="0"/>
    <cellStyle name="Standard 2" xfId="43" xr:uid="{00000000-0005-0000-0000-00002B000000}"/>
    <cellStyle name="Standard 2 2" xfId="44" xr:uid="{00000000-0005-0000-0000-00002C000000}"/>
    <cellStyle name="Standard 2 3" xfId="45" xr:uid="{00000000-0005-0000-0000-00002D000000}"/>
    <cellStyle name="Standard 3" xfId="46" xr:uid="{00000000-0005-0000-0000-00002E000000}"/>
    <cellStyle name="Standard 3 2" xfId="47" xr:uid="{00000000-0005-0000-0000-00002F000000}"/>
    <cellStyle name="Standard 3 3" xfId="48" xr:uid="{00000000-0005-0000-0000-000030000000}"/>
    <cellStyle name="Standard 3 4" xfId="49" xr:uid="{00000000-0005-0000-0000-000031000000}"/>
    <cellStyle name="Standard 4" xfId="50" xr:uid="{00000000-0005-0000-0000-000032000000}"/>
    <cellStyle name="Standard 4 2" xfId="51" xr:uid="{00000000-0005-0000-0000-000033000000}"/>
    <cellStyle name="Standard 5" xfId="52" xr:uid="{00000000-0005-0000-0000-000034000000}"/>
    <cellStyle name="Standard 6" xfId="53" xr:uid="{00000000-0005-0000-0000-000035000000}"/>
    <cellStyle name="Standard 7" xfId="54" xr:uid="{00000000-0005-0000-0000-000036000000}"/>
    <cellStyle name="Standard 8" xfId="55" xr:uid="{00000000-0005-0000-0000-000037000000}"/>
    <cellStyle name="Währung 2" xfId="56" xr:uid="{00000000-0005-0000-0000-000038000000}"/>
    <cellStyle name="Währung 2 2" xfId="57" xr:uid="{00000000-0005-0000-0000-000039000000}"/>
    <cellStyle name="Währung 2 3" xfId="58" xr:uid="{00000000-0005-0000-0000-00003A000000}"/>
    <cellStyle name="Währung 2 4" xfId="59" xr:uid="{00000000-0005-0000-0000-00003B000000}"/>
    <cellStyle name="Währung 2 5" xfId="60" xr:uid="{00000000-0005-0000-0000-00003C000000}"/>
    <cellStyle name="Währung 3" xfId="61" xr:uid="{00000000-0005-0000-0000-00003D000000}"/>
    <cellStyle name="Währung 3 2" xfId="62" xr:uid="{00000000-0005-0000-0000-00003E000000}"/>
    <cellStyle name="Währung 4" xfId="63" xr:uid="{00000000-0005-0000-0000-00003F000000}"/>
    <cellStyle name="Währung 5" xfId="64" xr:uid="{00000000-0005-0000-0000-000040000000}"/>
    <cellStyle name="Währung 5 2" xfId="65" xr:uid="{00000000-0005-0000-0000-000041000000}"/>
    <cellStyle name="Währung 6" xfId="66" xr:uid="{00000000-0005-0000-0000-000042000000}"/>
    <cellStyle name="Währung 7" xfId="67" xr:uid="{00000000-0005-0000-0000-000043000000}"/>
  </cellStyles>
  <dxfs count="198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rgb="FFBFBFBF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663300"/>
        </patternFill>
      </fill>
    </dxf>
    <dxf>
      <font>
        <color theme="0"/>
      </font>
      <fill>
        <patternFill>
          <bgColor rgb="FF0080C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rgb="FFCCFFCC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theme="5" tint="0.79998168889431442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fgColor indexed="41"/>
          <bgColor indexed="49"/>
        </patternFill>
      </fill>
    </dxf>
    <dxf>
      <fill>
        <patternFill>
          <bgColor indexed="55"/>
        </patternFill>
      </fill>
    </dxf>
    <dxf>
      <fill>
        <patternFill>
          <bgColor rgb="FFBFBFBF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663300"/>
        </patternFill>
      </fill>
    </dxf>
    <dxf>
      <font>
        <color theme="0"/>
      </font>
      <fill>
        <patternFill>
          <bgColor rgb="FF0080C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rgb="FFCCFFCC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theme="5" tint="0.79998168889431442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fgColor indexed="41"/>
          <bgColor indexed="49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rgb="FFFFC000"/>
      </font>
    </dxf>
    <dxf>
      <fill>
        <patternFill>
          <bgColor rgb="FFBFBFBF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663300"/>
        </patternFill>
      </fill>
    </dxf>
    <dxf>
      <font>
        <color theme="0"/>
      </font>
      <fill>
        <patternFill>
          <bgColor rgb="FF0080C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rgb="FFCCFFCC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theme="5" tint="0.79998168889431442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fgColor indexed="41"/>
          <bgColor indexed="49"/>
        </patternFill>
      </fill>
    </dxf>
    <dxf>
      <fill>
        <patternFill>
          <bgColor indexed="55"/>
        </patternFill>
      </fill>
    </dxf>
    <dxf>
      <fill>
        <patternFill>
          <bgColor rgb="FFD8FFD8"/>
        </patternFill>
      </fill>
    </dxf>
    <dxf>
      <fill>
        <patternFill>
          <bgColor rgb="FFBFBFBF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663300"/>
        </patternFill>
      </fill>
    </dxf>
    <dxf>
      <font>
        <color theme="0"/>
      </font>
      <fill>
        <patternFill>
          <bgColor rgb="FF0080C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rgb="FFCCFFCC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BFBFBF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663300"/>
        </patternFill>
      </fill>
    </dxf>
    <dxf>
      <font>
        <color theme="0"/>
      </font>
      <fill>
        <patternFill>
          <bgColor rgb="FF0080C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rgb="FFCCFFCC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D8FFD8"/>
        </patternFill>
      </fill>
    </dxf>
    <dxf>
      <font>
        <strike val="0"/>
        <color theme="9"/>
      </font>
    </dxf>
    <dxf>
      <fill>
        <patternFill>
          <bgColor rgb="FFD8FFD8"/>
        </patternFill>
      </fill>
    </dxf>
    <dxf>
      <fill>
        <patternFill>
          <bgColor rgb="FFBFBFBF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663300"/>
        </patternFill>
      </fill>
    </dxf>
    <dxf>
      <font>
        <color theme="0"/>
      </font>
      <fill>
        <patternFill>
          <bgColor rgb="FF0080C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rgb="FFCCFFCC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ont>
        <color rgb="FFFFC000"/>
      </font>
    </dxf>
    <dxf>
      <fill>
        <patternFill>
          <bgColor rgb="FFBFBFBF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663300"/>
        </patternFill>
      </fill>
    </dxf>
    <dxf>
      <font>
        <color theme="0"/>
      </font>
      <fill>
        <patternFill>
          <bgColor rgb="FF0080C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rgb="FFCCFFCC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theme="5" tint="0.79998168889431442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fgColor indexed="41"/>
          <bgColor indexed="49"/>
        </patternFill>
      </fill>
    </dxf>
    <dxf>
      <fill>
        <patternFill>
          <bgColor indexed="55"/>
        </patternFill>
      </fill>
    </dxf>
    <dxf>
      <fill>
        <patternFill>
          <bgColor rgb="FFD8FFD8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BFBFBF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663300"/>
        </patternFill>
      </fill>
    </dxf>
    <dxf>
      <font>
        <color theme="0"/>
      </font>
      <fill>
        <patternFill>
          <bgColor rgb="FF0080C0"/>
        </patternFill>
      </fill>
    </dxf>
    <dxf>
      <fill>
        <patternFill>
          <bgColor rgb="FF00FF00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rgb="FFCCFFCC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BFBFBF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663300"/>
        </patternFill>
      </fill>
    </dxf>
    <dxf>
      <font>
        <color theme="0"/>
      </font>
      <fill>
        <patternFill>
          <bgColor rgb="FF0080C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rgb="FFCCFFCC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D8FFD8"/>
        </patternFill>
      </fill>
    </dxf>
    <dxf>
      <font>
        <strike val="0"/>
        <color theme="9"/>
      </font>
    </dxf>
    <dxf>
      <fill>
        <patternFill>
          <bgColor rgb="FFD8FFD8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rgb="FFBFBFBF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663300"/>
        </patternFill>
      </fill>
    </dxf>
    <dxf>
      <font>
        <color theme="0"/>
      </font>
      <fill>
        <patternFill>
          <bgColor rgb="FF0080C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color theme="0"/>
      </font>
      <fill>
        <patternFill>
          <bgColor rgb="FF404040"/>
        </patternFill>
      </fill>
    </dxf>
    <dxf>
      <fill>
        <patternFill>
          <bgColor rgb="FFCCFFCC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indexed="55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22"/>
        </patternFill>
      </fill>
    </dxf>
    <dxf>
      <fill>
        <patternFill>
          <bgColor indexed="55"/>
        </patternFill>
      </fill>
    </dxf>
    <dxf>
      <fill>
        <patternFill>
          <bgColor indexed="22"/>
        </patternFill>
      </fill>
    </dxf>
    <dxf>
      <fill>
        <patternFill>
          <bgColor indexed="55"/>
        </patternFill>
      </fill>
    </dxf>
  </dxfs>
  <tableStyles count="1" defaultTableStyle="TableStyleMedium9" defaultPivotStyle="PivotStyleLight16">
    <tableStyle name="MySqlDefault" pivot="0" table="0" count="0" xr9:uid="{00000000-0011-0000-FFFF-FFFF00000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D6FF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S42"/>
  <sheetViews>
    <sheetView showZeros="0" tabSelected="1" zoomScale="80" zoomScaleNormal="80" zoomScaleSheetLayoutView="90" workbookViewId="0">
      <selection activeCell="T4" sqref="T4"/>
    </sheetView>
  </sheetViews>
  <sheetFormatPr baseColWidth="10" defaultRowHeight="12.75" x14ac:dyDescent="0.2"/>
  <cols>
    <col min="1" max="1" width="49.7109375" style="144" customWidth="1"/>
    <col min="2" max="2" width="46.5703125" style="9" customWidth="1"/>
    <col min="3" max="3" width="44.85546875" style="9" customWidth="1"/>
    <col min="4" max="34" width="8.42578125" style="9" customWidth="1"/>
    <col min="35" max="35" width="12" style="9" customWidth="1"/>
    <col min="36" max="36" width="12.140625" style="9" customWidth="1"/>
    <col min="37" max="37" width="9.140625" style="9" customWidth="1"/>
    <col min="38" max="38" width="8.42578125" style="9" customWidth="1"/>
    <col min="39" max="39" width="6.7109375" style="9" customWidth="1"/>
    <col min="40" max="40" width="3" style="9" customWidth="1"/>
    <col min="41" max="41" width="11.42578125" style="9" customWidth="1"/>
    <col min="42" max="44" width="11.42578125" style="9"/>
    <col min="45" max="45" width="46.85546875" style="144" customWidth="1"/>
    <col min="46" max="16384" width="11.42578125" style="9"/>
  </cols>
  <sheetData>
    <row r="1" spans="1:45" ht="15" customHeight="1" x14ac:dyDescent="0.2">
      <c r="C1" s="125" t="s">
        <v>83</v>
      </c>
      <c r="D1" s="83" t="str">
        <f t="shared" ref="D1:AH1" si="0">IF(ISERROR(TEXT(DATEVALUE(CONCATENATE(D$2," ",$AD$11," ",$AG$11)),"TTT")),"",TEXT(DATEVALUE(CONCATENATE(D$2," ",$AD$11," ",$AG$11)),"TTT"))</f>
        <v>So</v>
      </c>
      <c r="E1" s="83" t="str">
        <f t="shared" si="0"/>
        <v>Mo</v>
      </c>
      <c r="F1" s="83" t="str">
        <f t="shared" si="0"/>
        <v>Di</v>
      </c>
      <c r="G1" s="83" t="str">
        <f t="shared" si="0"/>
        <v>Mi</v>
      </c>
      <c r="H1" s="83" t="str">
        <f t="shared" si="0"/>
        <v>Do</v>
      </c>
      <c r="I1" s="83" t="str">
        <f t="shared" si="0"/>
        <v>Fr</v>
      </c>
      <c r="J1" s="83" t="str">
        <f t="shared" si="0"/>
        <v>Sa</v>
      </c>
      <c r="K1" s="83" t="str">
        <f t="shared" si="0"/>
        <v>So</v>
      </c>
      <c r="L1" s="83" t="str">
        <f t="shared" si="0"/>
        <v>Mo</v>
      </c>
      <c r="M1" s="83" t="str">
        <f t="shared" si="0"/>
        <v>Di</v>
      </c>
      <c r="N1" s="83" t="str">
        <f t="shared" si="0"/>
        <v>Mi</v>
      </c>
      <c r="O1" s="83" t="str">
        <f t="shared" si="0"/>
        <v>Do</v>
      </c>
      <c r="P1" s="83" t="str">
        <f t="shared" si="0"/>
        <v>Fr</v>
      </c>
      <c r="Q1" s="83" t="str">
        <f t="shared" si="0"/>
        <v>Sa</v>
      </c>
      <c r="R1" s="83" t="str">
        <f t="shared" si="0"/>
        <v>So</v>
      </c>
      <c r="S1" s="83" t="str">
        <f t="shared" si="0"/>
        <v>Mo</v>
      </c>
      <c r="T1" s="83" t="str">
        <f t="shared" si="0"/>
        <v>Di</v>
      </c>
      <c r="U1" s="83" t="str">
        <f t="shared" si="0"/>
        <v>Mi</v>
      </c>
      <c r="V1" s="83" t="str">
        <f t="shared" si="0"/>
        <v>Do</v>
      </c>
      <c r="W1" s="83" t="str">
        <f t="shared" si="0"/>
        <v>Fr</v>
      </c>
      <c r="X1" s="83" t="str">
        <f t="shared" si="0"/>
        <v>Sa</v>
      </c>
      <c r="Y1" s="83" t="str">
        <f t="shared" si="0"/>
        <v>So</v>
      </c>
      <c r="Z1" s="83" t="str">
        <f t="shared" si="0"/>
        <v>Mo</v>
      </c>
      <c r="AA1" s="83" t="str">
        <f t="shared" si="0"/>
        <v>Di</v>
      </c>
      <c r="AB1" s="83" t="str">
        <f t="shared" si="0"/>
        <v>Mi</v>
      </c>
      <c r="AC1" s="83" t="str">
        <f t="shared" si="0"/>
        <v>Do</v>
      </c>
      <c r="AD1" s="83" t="str">
        <f t="shared" si="0"/>
        <v>Fr</v>
      </c>
      <c r="AE1" s="83" t="str">
        <f t="shared" si="0"/>
        <v>Sa</v>
      </c>
      <c r="AF1" s="83" t="str">
        <f t="shared" si="0"/>
        <v>So</v>
      </c>
      <c r="AG1" s="83" t="str">
        <f t="shared" si="0"/>
        <v>Mo</v>
      </c>
      <c r="AH1" s="83" t="str">
        <f t="shared" si="0"/>
        <v/>
      </c>
    </row>
    <row r="2" spans="1:45" ht="23.25" customHeight="1" thickBot="1" x14ac:dyDescent="0.25">
      <c r="B2" s="14"/>
      <c r="C2" s="126" t="s">
        <v>84</v>
      </c>
      <c r="D2" s="84" t="s">
        <v>0</v>
      </c>
      <c r="E2" s="85" t="s">
        <v>1</v>
      </c>
      <c r="F2" s="85" t="s">
        <v>2</v>
      </c>
      <c r="G2" s="85" t="s">
        <v>3</v>
      </c>
      <c r="H2" s="85" t="s">
        <v>4</v>
      </c>
      <c r="I2" s="85" t="s">
        <v>5</v>
      </c>
      <c r="J2" s="85" t="s">
        <v>6</v>
      </c>
      <c r="K2" s="85" t="s">
        <v>7</v>
      </c>
      <c r="L2" s="85" t="s">
        <v>8</v>
      </c>
      <c r="M2" s="85" t="s">
        <v>9</v>
      </c>
      <c r="N2" s="85" t="s">
        <v>10</v>
      </c>
      <c r="O2" s="85" t="s">
        <v>11</v>
      </c>
      <c r="P2" s="85" t="s">
        <v>12</v>
      </c>
      <c r="Q2" s="85" t="s">
        <v>13</v>
      </c>
      <c r="R2" s="85" t="s">
        <v>14</v>
      </c>
      <c r="S2" s="85" t="s">
        <v>15</v>
      </c>
      <c r="T2" s="85" t="s">
        <v>16</v>
      </c>
      <c r="U2" s="85" t="s">
        <v>17</v>
      </c>
      <c r="V2" s="85" t="s">
        <v>18</v>
      </c>
      <c r="W2" s="85" t="s">
        <v>19</v>
      </c>
      <c r="X2" s="85" t="s">
        <v>20</v>
      </c>
      <c r="Y2" s="85" t="s">
        <v>21</v>
      </c>
      <c r="Z2" s="85" t="s">
        <v>22</v>
      </c>
      <c r="AA2" s="85" t="s">
        <v>23</v>
      </c>
      <c r="AB2" s="85" t="s">
        <v>24</v>
      </c>
      <c r="AC2" s="85" t="s">
        <v>25</v>
      </c>
      <c r="AD2" s="85" t="s">
        <v>26</v>
      </c>
      <c r="AE2" s="85" t="s">
        <v>27</v>
      </c>
      <c r="AF2" s="85" t="s">
        <v>28</v>
      </c>
      <c r="AG2" s="85" t="s">
        <v>29</v>
      </c>
      <c r="AH2" s="86" t="s">
        <v>30</v>
      </c>
    </row>
    <row r="3" spans="1:45" ht="36" customHeight="1" thickTop="1" thickBot="1" x14ac:dyDescent="0.25">
      <c r="A3" s="145"/>
      <c r="B3" s="195" t="s">
        <v>31</v>
      </c>
      <c r="C3" s="196"/>
      <c r="D3" s="151"/>
      <c r="E3" s="151"/>
      <c r="F3" s="151"/>
      <c r="G3" s="151"/>
      <c r="H3" s="151"/>
      <c r="I3" s="151"/>
      <c r="J3" s="151"/>
      <c r="K3" s="151"/>
      <c r="L3" s="151">
        <v>0.33333333333333331</v>
      </c>
      <c r="M3" s="151">
        <v>0.33333333333333331</v>
      </c>
      <c r="N3" s="151">
        <v>0.32291666666666669</v>
      </c>
      <c r="O3" s="151">
        <v>0.34375</v>
      </c>
      <c r="P3" s="151">
        <v>0.33333333333333331</v>
      </c>
      <c r="Q3" s="151"/>
      <c r="R3" s="151"/>
      <c r="S3" s="151">
        <v>0.33333333333333331</v>
      </c>
      <c r="T3" s="151">
        <v>0.33333333333333331</v>
      </c>
      <c r="U3" s="151"/>
      <c r="V3" s="151"/>
      <c r="W3" s="151"/>
      <c r="X3" s="151"/>
      <c r="Y3" s="151"/>
      <c r="Z3" s="151"/>
      <c r="AA3" s="151"/>
      <c r="AB3" s="151"/>
      <c r="AC3" s="151"/>
      <c r="AD3" s="151"/>
      <c r="AE3" s="151"/>
      <c r="AF3" s="151"/>
      <c r="AG3" s="151"/>
      <c r="AH3" s="151"/>
      <c r="AS3" s="145"/>
    </row>
    <row r="4" spans="1:45" ht="36" customHeight="1" thickTop="1" thickBot="1" x14ac:dyDescent="0.25">
      <c r="A4" s="145"/>
      <c r="B4" s="197" t="s">
        <v>32</v>
      </c>
      <c r="C4" s="198"/>
      <c r="D4" s="118"/>
      <c r="E4" s="118" t="s">
        <v>723</v>
      </c>
      <c r="F4" s="118" t="s">
        <v>722</v>
      </c>
      <c r="G4" s="118" t="s">
        <v>722</v>
      </c>
      <c r="H4" s="118" t="s">
        <v>722</v>
      </c>
      <c r="I4" s="118" t="s">
        <v>722</v>
      </c>
      <c r="J4" s="118"/>
      <c r="K4" s="118"/>
      <c r="L4" s="118">
        <v>0.625</v>
      </c>
      <c r="M4" s="118">
        <v>0.64583333333333337</v>
      </c>
      <c r="N4" s="118">
        <v>0.61458333333333337</v>
      </c>
      <c r="O4" s="118">
        <v>0.64583333333333337</v>
      </c>
      <c r="P4" s="118">
        <v>0.61458333333333337</v>
      </c>
      <c r="Q4" s="118"/>
      <c r="R4" s="118"/>
      <c r="S4" s="118">
        <v>0.60416666666666663</v>
      </c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 t="s">
        <v>1183</v>
      </c>
      <c r="AH4" s="118"/>
      <c r="AS4" s="145"/>
    </row>
    <row r="5" spans="1:45" ht="45" customHeight="1" thickTop="1" thickBot="1" x14ac:dyDescent="0.25">
      <c r="A5" s="145"/>
      <c r="B5" s="199" t="s">
        <v>33</v>
      </c>
      <c r="C5" s="200"/>
      <c r="D5" s="5" t="str">
        <f>IF(D$4="U","Urlaub",IF(D$4="G","Gleitzeit",IF(D$4="F","Feiertag",IF(D$4="K","Krank",IF(ISBLANK(D$4),"-",IF(ISBLANK(D$3),"-",D$4-D$3))))))</f>
        <v>-</v>
      </c>
      <c r="E5" s="5" t="str">
        <f>IF(E$4="U","Urlaub",IF(E$4="G","Gleitzeit",IF(E$4="F","Feiertag",IF(E$4="K","Krank",IF(ISBLANK(E$4),"-",IF(ISBLANK(E$3),"-",E$4-E$3))))))</f>
        <v>Feiertag</v>
      </c>
      <c r="F5" s="5" t="str">
        <f t="shared" ref="F5:AH5" si="1">IF(F$4="U","Urlaub",IF(F$4="G","Gleitzeit",IF(F$4="F","Feiertag",IF(F$4="K","Krank",IF(ISBLANK(F$4),"-",IF(ISBLANK(F$3),"-",F$4-F$3))))))</f>
        <v>Urlaub</v>
      </c>
      <c r="G5" s="5" t="str">
        <f t="shared" si="1"/>
        <v>Urlaub</v>
      </c>
      <c r="H5" s="5" t="str">
        <f t="shared" si="1"/>
        <v>Urlaub</v>
      </c>
      <c r="I5" s="5" t="str">
        <f t="shared" si="1"/>
        <v>Urlaub</v>
      </c>
      <c r="J5" s="5" t="str">
        <f t="shared" si="1"/>
        <v>-</v>
      </c>
      <c r="K5" s="5" t="str">
        <f>IF(K$4="U","Urlaub",IF(K$4="G","Gleitzeit",IF(K$4="F","Feiertag",IF(K$4="K","Krank",IF(ISBLANK(K$4),"-",IF(ISBLANK(K$3),"-",K$4-K$3))))))</f>
        <v>-</v>
      </c>
      <c r="L5" s="5">
        <f>IF(L$4="U","Urlaub",IF(L$4="G","Gleitzeit",IF(L$4="F","Feiertag",IF(L$4="K","Krank",IF(ISBLANK(L$4),"-",IF(ISBLANK(L$3),"-",L$4-L$3))))))</f>
        <v>0.29166666666666669</v>
      </c>
      <c r="M5" s="5">
        <f>IF(M$4="U","Urlaub",IF(M$4="G","Gleitzeit",IF(M$4="F","Feiertag",IF(M$4="K","Krank",IF(ISBLANK(M$4),"-",IF(ISBLANK(M$3),"-",M$4-M$3))))))</f>
        <v>0.31250000000000006</v>
      </c>
      <c r="N5" s="5">
        <f t="shared" si="1"/>
        <v>0.29166666666666669</v>
      </c>
      <c r="O5" s="5">
        <f t="shared" si="1"/>
        <v>0.30208333333333337</v>
      </c>
      <c r="P5" s="5">
        <f t="shared" si="1"/>
        <v>0.28125000000000006</v>
      </c>
      <c r="Q5" s="5" t="str">
        <f t="shared" si="1"/>
        <v>-</v>
      </c>
      <c r="R5" s="5" t="str">
        <f t="shared" si="1"/>
        <v>-</v>
      </c>
      <c r="S5" s="5">
        <f t="shared" si="1"/>
        <v>0.27083333333333331</v>
      </c>
      <c r="T5" s="5" t="str">
        <f t="shared" si="1"/>
        <v>-</v>
      </c>
      <c r="U5" s="5" t="str">
        <f t="shared" si="1"/>
        <v>-</v>
      </c>
      <c r="V5" s="5" t="str">
        <f t="shared" si="1"/>
        <v>-</v>
      </c>
      <c r="W5" s="5" t="str">
        <f t="shared" si="1"/>
        <v>-</v>
      </c>
      <c r="X5" s="5" t="str">
        <f t="shared" si="1"/>
        <v>-</v>
      </c>
      <c r="Y5" s="5" t="str">
        <f t="shared" si="1"/>
        <v>-</v>
      </c>
      <c r="Z5" s="5" t="str">
        <f t="shared" si="1"/>
        <v>-</v>
      </c>
      <c r="AA5" s="5" t="str">
        <f t="shared" si="1"/>
        <v>-</v>
      </c>
      <c r="AB5" s="5" t="str">
        <f>IF(AB$4="U","Urlaub",IF(AB$4="G","Gleitzeit",IF(AB$4="F","Feiertag",IF(AB$4="K","Krank",IF(ISBLANK(AB$4),"-",IF(ISBLANK(AB$3),"-",AB$4-AB$3))))))</f>
        <v>-</v>
      </c>
      <c r="AC5" s="5" t="str">
        <f>IF(AC$4="U","Urlaub",IF(AC$4="G","Gleitzeit",IF(AC$4="F","Feiertag",IF(AC$4="K","Krank",IF(ISBLANK(AC$4),"-",IF(ISBLANK(AC$3),"-",AC$4-AC$3))))))</f>
        <v>-</v>
      </c>
      <c r="AD5" s="5" t="str">
        <f t="shared" si="1"/>
        <v>-</v>
      </c>
      <c r="AE5" s="5" t="str">
        <f t="shared" si="1"/>
        <v>-</v>
      </c>
      <c r="AF5" s="5" t="str">
        <f t="shared" si="1"/>
        <v>-</v>
      </c>
      <c r="AG5" s="5" t="str">
        <f t="shared" si="1"/>
        <v>Gleitzeit</v>
      </c>
      <c r="AH5" s="5" t="str">
        <f t="shared" si="1"/>
        <v>-</v>
      </c>
      <c r="AS5" s="145"/>
    </row>
    <row r="6" spans="1:45" ht="53.25" customHeight="1" thickBot="1" x14ac:dyDescent="0.25">
      <c r="A6" s="145"/>
      <c r="B6" s="201" t="s">
        <v>34</v>
      </c>
      <c r="C6" s="202"/>
      <c r="D6" s="6" t="str">
        <f>IF(ISERROR(TEXT(DATEVALUE(CONCATENATE(D$2," ",$AD$11," ",$AG$11)),"TTT"))," ",IF(D$4="F","",(IF(OR(D$4="U",D$4="G",D$4="K"),"6:00",IF(D$5="-",IF(WEEKDAY(CONCATENATE(D$2," ",$AD$11," ",$AG$11),2)&gt;5,IF(D$5="-","Wochend",IF(D$8=" ",D$5-D$9,D$5-D$8-D$9)),"-"),IF(D$8=" ",D$5-D$9,D$5-D$8-D$9))))))</f>
        <v>Wochend</v>
      </c>
      <c r="E6" s="6" t="str">
        <f>IF(ISERROR(TEXT(DATEVALUE(CONCATENATE(E$2," ",$AD$11," ",$AG$11)),"TTT"))," ",IF(E$4="F","",(IF(OR(E$4="U",E$4="G",E$4="K"),"6:00",IF(E$5="-",IF(WEEKDAY(CONCATENATE(E$2," ",$AD$11," ",$AG$11),2)&gt;5,IF(E$5="-","Wochend",IF(E$8=" ",E$5-E$9,E$5-E$8-E$9)),"-"),IF(E$8=" ",E$5-E$9,E$5-E$8-E$9))))))</f>
        <v/>
      </c>
      <c r="F6" s="6" t="str">
        <f t="shared" ref="F6:AG6" si="2">IF(ISERROR(TEXT(DATEVALUE(CONCATENATE(F$2," ",$AD$11," ",$AG$11)),"TTT"))," ",IF(F$4="F","",(IF(OR(F$4="U",F$4="G",F$4="K"),"6:00",IF(F$5="-",IF(WEEKDAY(CONCATENATE(F$2," ",$AD$11," ",$AG$11),2)&gt;5,IF(F$5="-","Wochend",IF(F$8=" ",F$5-F$9,F$5-F$8-F$9)),"-"),IF(F$8=" ",F$5-F$9,F$5-F$8-F$9))))))</f>
        <v>6:00</v>
      </c>
      <c r="G6" s="6" t="str">
        <f t="shared" si="2"/>
        <v>6:00</v>
      </c>
      <c r="H6" s="6" t="str">
        <f t="shared" si="2"/>
        <v>6:00</v>
      </c>
      <c r="I6" s="6" t="str">
        <f t="shared" si="2"/>
        <v>6:00</v>
      </c>
      <c r="J6" s="6" t="str">
        <f t="shared" si="2"/>
        <v>Wochend</v>
      </c>
      <c r="K6" s="6" t="str">
        <f t="shared" si="2"/>
        <v>Wochend</v>
      </c>
      <c r="L6" s="6">
        <f t="shared" si="2"/>
        <v>0.27083333333333337</v>
      </c>
      <c r="M6" s="6">
        <f>IF(ISERROR(TEXT(DATEVALUE(CONCATENATE(M$2," ",$AD$11," ",$AG$11)),"TTT"))," ",IF(M$4="F","",(IF(OR(M$4="U",M$4="G",M$4="K"),"6:00",IF(M$5="-",IF(WEEKDAY(CONCATENATE(M$2," ",$AD$11," ",$AG$11),2)&gt;5,IF(M$5="-","Wochend",IF(M$8=" ",M$5-M$9,M$5-M$8-M$9)),"-"),IF(M$8=" ",M$5-M$9,M$5-M$8-M$9))))))</f>
        <v>0.29166666666666674</v>
      </c>
      <c r="N6" s="6">
        <f t="shared" si="2"/>
        <v>0.27083333333333337</v>
      </c>
      <c r="O6" s="6">
        <f t="shared" si="2"/>
        <v>0.26041666666666674</v>
      </c>
      <c r="P6" s="6">
        <f t="shared" si="2"/>
        <v>0.26041666666666674</v>
      </c>
      <c r="Q6" s="6" t="str">
        <f t="shared" si="2"/>
        <v>Wochend</v>
      </c>
      <c r="R6" s="6" t="str">
        <f t="shared" si="2"/>
        <v>Wochend</v>
      </c>
      <c r="S6" s="6">
        <f t="shared" si="2"/>
        <v>0.24999999999999997</v>
      </c>
      <c r="T6" s="6" t="str">
        <f t="shared" si="2"/>
        <v>-</v>
      </c>
      <c r="U6" s="6" t="str">
        <f t="shared" si="2"/>
        <v>-</v>
      </c>
      <c r="V6" s="6" t="str">
        <f t="shared" si="2"/>
        <v>-</v>
      </c>
      <c r="W6" s="6" t="str">
        <f t="shared" si="2"/>
        <v>-</v>
      </c>
      <c r="X6" s="6" t="str">
        <f t="shared" si="2"/>
        <v>Wochend</v>
      </c>
      <c r="Y6" s="6" t="str">
        <f t="shared" si="2"/>
        <v>Wochend</v>
      </c>
      <c r="Z6" s="6" t="str">
        <f t="shared" si="2"/>
        <v>-</v>
      </c>
      <c r="AA6" s="6" t="str">
        <f t="shared" si="2"/>
        <v>-</v>
      </c>
      <c r="AB6" s="6" t="str">
        <f>IF(ISERROR(TEXT(DATEVALUE(CONCATENATE(AB$2," ",$AD$11," ",$AG$11)),"TTT"))," ",IF(AB$4="F","",(IF(OR(AB$4="U",AB$4="G",AB$4="K"),"6:00",IF(AB$5="-",IF(WEEKDAY(CONCATENATE(AB$2," ",$AD$11," ",$AG$11),2)&gt;5,IF(AB$5="-","Wochend",IF(AB$8=" ",AB$5-AB$9,AB$5-AB$8-AB$9)),"-"),IF(AB$8=" ",AB$5-AB$9,AB$5-AB$8-AB$9))))))</f>
        <v>-</v>
      </c>
      <c r="AC6" s="6" t="str">
        <f>IF(ISERROR(TEXT(DATEVALUE(CONCATENATE(AC$2," ",$AD$11," ",$AG$11)),"TTT"))," ",IF(AC$4="F","",(IF(OR(AC$4="U",AC$4="G",AC$4="K"),"6:00",IF(AC$5="-",IF(WEEKDAY(CONCATENATE(AC$2," ",$AD$11," ",$AG$11),2)&gt;5,IF(AC$5="-","Wochend",IF(AC$8=" ",AC$5-AC$9,AC$5-AC$8-AC$9)),"-"),IF(AC$8=" ",AC$5-AC$9,AC$5-AC$8-AC$9))))))</f>
        <v>-</v>
      </c>
      <c r="AD6" s="6" t="str">
        <f t="shared" si="2"/>
        <v>-</v>
      </c>
      <c r="AE6" s="6" t="str">
        <f t="shared" si="2"/>
        <v>Wochend</v>
      </c>
      <c r="AF6" s="6" t="str">
        <f t="shared" si="2"/>
        <v>Wochend</v>
      </c>
      <c r="AG6" s="6" t="str">
        <f t="shared" si="2"/>
        <v>6:00</v>
      </c>
      <c r="AH6" s="6" t="str">
        <f t="shared" ref="AH6" si="3">IF(ISERROR(TEXT(DATEVALUE(CONCATENATE(AH$2," ",$AD$11," ",$AG$11)),"TTT"))," ",IF(AH$4="F","",(IF(OR(AH$4="U",AH$4="G",AH$4="K"),"8:00",IF(AH$5="-",IF(WEEKDAY(CONCATENATE(AH$2," ",$AD$11," ",$AG$11),2)&gt;5,IF(AH$5="-","Wochend",IF(AH$8=" ",AH$5-AH$9,AH$5-AH$8-AH$9)),"-"),IF(AH$8=" ",AH$5-AH$9,AH$5-AH$8-AH$9))))))</f>
        <v xml:space="preserve"> </v>
      </c>
      <c r="AN6" s="121"/>
      <c r="AS6" s="145"/>
    </row>
    <row r="7" spans="1:45" ht="24.75" customHeight="1" thickTop="1" thickBot="1" x14ac:dyDescent="0.25">
      <c r="A7" s="145"/>
      <c r="B7" s="203" t="s">
        <v>49</v>
      </c>
      <c r="C7" s="204"/>
      <c r="D7" s="119">
        <f t="shared" ref="D7:F7" si="4">IF(D$4="U",0,IF(D$4="K",0,IF(ISNUMBER((D$6)*24),(D$6)*24,0)))</f>
        <v>0</v>
      </c>
      <c r="E7" s="119">
        <f t="shared" si="4"/>
        <v>0</v>
      </c>
      <c r="F7" s="119">
        <f t="shared" si="4"/>
        <v>0</v>
      </c>
      <c r="G7" s="119">
        <f>IF(G$4="U",0,IF(G$4="K",0,IF(ISNUMBER((G$6)*24),(G$6)*24,0)))</f>
        <v>0</v>
      </c>
      <c r="H7" s="119">
        <f t="shared" ref="H7:AH7" si="5">IF(H$4="U",0,IF(H$4="K",0,IF(ISNUMBER((H$6)*24),(H$6)*24,0)))</f>
        <v>0</v>
      </c>
      <c r="I7" s="119">
        <f t="shared" si="5"/>
        <v>0</v>
      </c>
      <c r="J7" s="119">
        <f t="shared" si="5"/>
        <v>0</v>
      </c>
      <c r="K7" s="119">
        <f t="shared" si="5"/>
        <v>0</v>
      </c>
      <c r="L7" s="119">
        <f t="shared" si="5"/>
        <v>6.5000000000000009</v>
      </c>
      <c r="M7" s="119">
        <f>IF(M$4="U",0,IF(M$4="K",0,IF(ISNUMBER((M$6)*24),(M$6)*24,0)))</f>
        <v>7.0000000000000018</v>
      </c>
      <c r="N7" s="119">
        <f t="shared" si="5"/>
        <v>6.5000000000000009</v>
      </c>
      <c r="O7" s="119">
        <f t="shared" si="5"/>
        <v>6.2500000000000018</v>
      </c>
      <c r="P7" s="119">
        <f t="shared" si="5"/>
        <v>6.2500000000000018</v>
      </c>
      <c r="Q7" s="119">
        <f t="shared" si="5"/>
        <v>0</v>
      </c>
      <c r="R7" s="119">
        <f t="shared" si="5"/>
        <v>0</v>
      </c>
      <c r="S7" s="119">
        <f t="shared" si="5"/>
        <v>5.9999999999999991</v>
      </c>
      <c r="T7" s="119">
        <f t="shared" si="5"/>
        <v>0</v>
      </c>
      <c r="U7" s="119">
        <f t="shared" si="5"/>
        <v>0</v>
      </c>
      <c r="V7" s="119">
        <f t="shared" si="5"/>
        <v>0</v>
      </c>
      <c r="W7" s="119">
        <f t="shared" si="5"/>
        <v>0</v>
      </c>
      <c r="X7" s="119">
        <f t="shared" si="5"/>
        <v>0</v>
      </c>
      <c r="Y7" s="119">
        <f t="shared" si="5"/>
        <v>0</v>
      </c>
      <c r="Z7" s="119">
        <f t="shared" si="5"/>
        <v>0</v>
      </c>
      <c r="AA7" s="119">
        <f t="shared" si="5"/>
        <v>0</v>
      </c>
      <c r="AB7" s="119">
        <f t="shared" si="5"/>
        <v>0</v>
      </c>
      <c r="AC7" s="119">
        <f t="shared" si="5"/>
        <v>0</v>
      </c>
      <c r="AD7" s="119">
        <f t="shared" si="5"/>
        <v>0</v>
      </c>
      <c r="AE7" s="119">
        <f t="shared" si="5"/>
        <v>0</v>
      </c>
      <c r="AF7" s="119">
        <f t="shared" si="5"/>
        <v>0</v>
      </c>
      <c r="AG7" s="119">
        <f t="shared" si="5"/>
        <v>6</v>
      </c>
      <c r="AH7" s="119">
        <f t="shared" si="5"/>
        <v>0</v>
      </c>
      <c r="AI7" s="87"/>
      <c r="AS7" s="145"/>
    </row>
    <row r="8" spans="1:45" ht="24.75" customHeight="1" thickTop="1" thickBot="1" x14ac:dyDescent="0.25">
      <c r="A8" s="145"/>
      <c r="B8" s="166" t="s">
        <v>61</v>
      </c>
      <c r="C8" s="167"/>
      <c r="D8" s="4" t="str">
        <f>IF(ISERROR(TEXT(DATEVALUE(CONCATENATE(D$2," ",$AD$11," ",$AG$11)),"TTT")),"",IF(WEEKDAY(CONCATENATE(D$2," ",$AD$11," ",$AG$11),2)&lt;6,$AJ$8,IF(WEEKDAY(CONCATENATE(D$2," ",$AD$11," ",$AG$11),2)=6," "," ")))</f>
        <v xml:space="preserve"> </v>
      </c>
      <c r="E8" s="4" t="str">
        <f>IF(ISERROR(TEXT(DATEVALUE(CONCATENATE(E$2," ",$AD$11," ",$AG$11)),"TTT")),"",IF(WEEKDAY(CONCATENATE(E$2," ",$AD$11," ",$AG$11),2)&lt;6,$AJ$8,IF(WEEKDAY(CONCATENATE(E$2," ",$AD$11," ",$AG$11),2)=6," "," ")))</f>
        <v>0:30</v>
      </c>
      <c r="F8" s="4" t="str">
        <f t="shared" ref="F8" si="6">IF(ISERROR(TEXT(DATEVALUE(CONCATENATE(F$2," ",$AD$11," ",$AG$11)),"TTT")),"",IF(WEEKDAY(CONCATENATE(F$2," ",$AD$11," ",$AG$11),2)&lt;6,$AI$8,IF(WEEKDAY(CONCATENATE(F$2," ",$AD$11," ",$AG$11),2)=6," "," ")))</f>
        <v>0:45</v>
      </c>
      <c r="G8" s="4" t="str">
        <f>IF(ISERROR(TEXT(DATEVALUE(CONCATENATE(G$2," ",$AD$11," ",$AG$11)),"TTT")),"",IF(WEEKDAY(CONCATENATE(G$2," ",$AD$11," ",$AG$11),2)&lt;6,$AJ$8,IF(WEEKDAY(CONCATENATE(G$2," ",$AD$11," ",$AG$11),2)=6," "," ")))</f>
        <v>0:30</v>
      </c>
      <c r="H8" s="4" t="str">
        <f t="shared" ref="H8:AH8" si="7">IF(ISERROR(TEXT(DATEVALUE(CONCATENATE(H$2," ",$AD$11," ",$AG$11)),"TTT")),"",IF(WEEKDAY(CONCATENATE(H$2," ",$AD$11," ",$AG$11),2)&lt;6,$AJ$8,IF(WEEKDAY(CONCATENATE(H$2," ",$AD$11," ",$AG$11),2)=6," "," ")))</f>
        <v>0:30</v>
      </c>
      <c r="I8" s="4" t="str">
        <f t="shared" si="7"/>
        <v>0:30</v>
      </c>
      <c r="J8" s="4" t="str">
        <f t="shared" si="7"/>
        <v xml:space="preserve"> </v>
      </c>
      <c r="K8" s="4" t="str">
        <f t="shared" si="7"/>
        <v xml:space="preserve"> </v>
      </c>
      <c r="L8" s="4" t="str">
        <f t="shared" si="7"/>
        <v>0:30</v>
      </c>
      <c r="M8" s="4" t="str">
        <f t="shared" si="7"/>
        <v>0:30</v>
      </c>
      <c r="N8" s="4" t="str">
        <f t="shared" si="7"/>
        <v>0:30</v>
      </c>
      <c r="O8" s="4" t="str">
        <f t="shared" si="7"/>
        <v>0:30</v>
      </c>
      <c r="P8" s="4" t="str">
        <f t="shared" si="7"/>
        <v>0:30</v>
      </c>
      <c r="Q8" s="4" t="str">
        <f t="shared" si="7"/>
        <v xml:space="preserve"> </v>
      </c>
      <c r="R8" s="4" t="str">
        <f t="shared" si="7"/>
        <v xml:space="preserve"> </v>
      </c>
      <c r="S8" s="4" t="str">
        <f t="shared" si="7"/>
        <v>0:30</v>
      </c>
      <c r="T8" s="4" t="str">
        <f t="shared" si="7"/>
        <v>0:30</v>
      </c>
      <c r="U8" s="4" t="str">
        <f t="shared" si="7"/>
        <v>0:30</v>
      </c>
      <c r="V8" s="4" t="str">
        <f t="shared" si="7"/>
        <v>0:30</v>
      </c>
      <c r="W8" s="4" t="str">
        <f t="shared" si="7"/>
        <v>0:30</v>
      </c>
      <c r="X8" s="4" t="str">
        <f t="shared" si="7"/>
        <v xml:space="preserve"> </v>
      </c>
      <c r="Y8" s="4" t="str">
        <f t="shared" si="7"/>
        <v xml:space="preserve"> </v>
      </c>
      <c r="Z8" s="4" t="str">
        <f t="shared" si="7"/>
        <v>0:30</v>
      </c>
      <c r="AA8" s="4" t="str">
        <f t="shared" si="7"/>
        <v>0:30</v>
      </c>
      <c r="AB8" s="4" t="str">
        <f t="shared" si="7"/>
        <v>0:30</v>
      </c>
      <c r="AC8" s="4" t="str">
        <f t="shared" si="7"/>
        <v>0:30</v>
      </c>
      <c r="AD8" s="4" t="str">
        <f t="shared" si="7"/>
        <v>0:30</v>
      </c>
      <c r="AE8" s="4" t="str">
        <f t="shared" si="7"/>
        <v xml:space="preserve"> </v>
      </c>
      <c r="AF8" s="4" t="str">
        <f t="shared" si="7"/>
        <v xml:space="preserve"> </v>
      </c>
      <c r="AG8" s="4" t="str">
        <f t="shared" si="7"/>
        <v>0:30</v>
      </c>
      <c r="AH8" s="4" t="str">
        <f t="shared" si="7"/>
        <v/>
      </c>
      <c r="AI8" s="116" t="s">
        <v>66</v>
      </c>
      <c r="AJ8" s="116" t="s">
        <v>414</v>
      </c>
      <c r="AS8" s="145"/>
    </row>
    <row r="9" spans="1:45" ht="24.75" customHeight="1" thickTop="1" thickBot="1" x14ac:dyDescent="0.25">
      <c r="A9" s="145"/>
      <c r="B9" s="207" t="s">
        <v>62</v>
      </c>
      <c r="C9" s="208"/>
      <c r="D9" s="124"/>
      <c r="E9" s="74"/>
      <c r="F9" s="74"/>
      <c r="G9" s="74"/>
      <c r="H9" s="74"/>
      <c r="I9" s="74"/>
      <c r="J9" s="74"/>
      <c r="K9" s="74"/>
      <c r="L9" s="74"/>
      <c r="M9" s="74"/>
      <c r="N9" s="74"/>
      <c r="O9" s="74">
        <v>2.0833333333333332E-2</v>
      </c>
      <c r="P9" s="74"/>
      <c r="Q9" s="74">
        <v>1.0416666666666666E-2</v>
      </c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S9" s="9"/>
    </row>
    <row r="10" spans="1:45" ht="24.75" customHeight="1" thickTop="1" x14ac:dyDescent="0.2">
      <c r="A10" s="145"/>
      <c r="B10" s="142" t="s">
        <v>34</v>
      </c>
      <c r="C10" s="122"/>
      <c r="D10" s="88"/>
      <c r="E10" s="89"/>
      <c r="F10" s="89"/>
      <c r="G10" s="89"/>
      <c r="H10" s="89"/>
      <c r="I10" s="89"/>
      <c r="J10" s="89"/>
      <c r="K10" s="89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1"/>
      <c r="AD10" s="92"/>
      <c r="AE10" s="92"/>
      <c r="AF10" s="92"/>
      <c r="AG10" s="92"/>
      <c r="AH10" s="92"/>
      <c r="AI10" s="93"/>
      <c r="AS10" s="9"/>
    </row>
    <row r="11" spans="1:45" ht="18" customHeight="1" thickBot="1" x14ac:dyDescent="0.3">
      <c r="B11" s="14"/>
      <c r="C11" s="94"/>
      <c r="D11" s="95"/>
      <c r="E11" s="96"/>
      <c r="F11" s="2" t="s">
        <v>69</v>
      </c>
      <c r="G11" s="97"/>
      <c r="H11" s="97"/>
      <c r="I11" s="97"/>
      <c r="J11" s="97"/>
      <c r="K11" s="97"/>
      <c r="L11" s="20"/>
      <c r="M11" s="98"/>
      <c r="N11" s="99"/>
      <c r="O11" s="100"/>
      <c r="P11" s="101"/>
      <c r="Q11" s="102" t="s">
        <v>35</v>
      </c>
      <c r="R11" s="101"/>
      <c r="S11" s="101"/>
      <c r="T11" s="181" t="s">
        <v>119</v>
      </c>
      <c r="U11" s="182"/>
      <c r="V11" s="182"/>
      <c r="W11" s="182"/>
      <c r="X11" s="182"/>
      <c r="Y11" s="182"/>
      <c r="Z11" s="100"/>
      <c r="AA11" s="100"/>
      <c r="AB11" s="14"/>
      <c r="AC11" s="103" t="s">
        <v>36</v>
      </c>
      <c r="AD11" s="104" t="s">
        <v>152</v>
      </c>
      <c r="AE11" s="105"/>
      <c r="AF11" s="106" t="s">
        <v>51</v>
      </c>
      <c r="AG11" s="170">
        <v>2018</v>
      </c>
      <c r="AH11" s="170"/>
      <c r="AI11" s="107"/>
      <c r="AS11" s="9"/>
    </row>
    <row r="12" spans="1:45" ht="15" customHeight="1" thickTop="1" x14ac:dyDescent="0.2">
      <c r="A12" s="209" t="s">
        <v>218</v>
      </c>
      <c r="B12" s="209" t="s">
        <v>219</v>
      </c>
      <c r="C12" s="209" t="s">
        <v>85</v>
      </c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3"/>
      <c r="AS12" s="9"/>
    </row>
    <row r="13" spans="1:45" x14ac:dyDescent="0.2">
      <c r="A13" s="210"/>
      <c r="B13" s="210"/>
      <c r="C13" s="210"/>
      <c r="D13" s="108" t="s">
        <v>0</v>
      </c>
      <c r="E13" s="109" t="s">
        <v>1</v>
      </c>
      <c r="F13" s="109" t="s">
        <v>2</v>
      </c>
      <c r="G13" s="109" t="s">
        <v>3</v>
      </c>
      <c r="H13" s="109" t="s">
        <v>4</v>
      </c>
      <c r="I13" s="109" t="s">
        <v>5</v>
      </c>
      <c r="J13" s="109" t="s">
        <v>6</v>
      </c>
      <c r="K13" s="109" t="s">
        <v>7</v>
      </c>
      <c r="L13" s="109" t="s">
        <v>8</v>
      </c>
      <c r="M13" s="109" t="s">
        <v>9</v>
      </c>
      <c r="N13" s="109" t="s">
        <v>10</v>
      </c>
      <c r="O13" s="109" t="s">
        <v>11</v>
      </c>
      <c r="P13" s="109" t="s">
        <v>12</v>
      </c>
      <c r="Q13" s="109" t="s">
        <v>13</v>
      </c>
      <c r="R13" s="109" t="s">
        <v>14</v>
      </c>
      <c r="S13" s="109" t="s">
        <v>15</v>
      </c>
      <c r="T13" s="109" t="s">
        <v>16</v>
      </c>
      <c r="U13" s="109" t="s">
        <v>17</v>
      </c>
      <c r="V13" s="109" t="s">
        <v>18</v>
      </c>
      <c r="W13" s="109" t="s">
        <v>19</v>
      </c>
      <c r="X13" s="109" t="s">
        <v>20</v>
      </c>
      <c r="Y13" s="109" t="s">
        <v>21</v>
      </c>
      <c r="Z13" s="109" t="s">
        <v>22</v>
      </c>
      <c r="AA13" s="109" t="s">
        <v>23</v>
      </c>
      <c r="AB13" s="109" t="s">
        <v>24</v>
      </c>
      <c r="AC13" s="109" t="s">
        <v>25</v>
      </c>
      <c r="AD13" s="109" t="s">
        <v>26</v>
      </c>
      <c r="AE13" s="109" t="s">
        <v>27</v>
      </c>
      <c r="AF13" s="109" t="s">
        <v>28</v>
      </c>
      <c r="AG13" s="109" t="s">
        <v>29</v>
      </c>
      <c r="AH13" s="109" t="s">
        <v>30</v>
      </c>
      <c r="AI13" s="157" t="s">
        <v>37</v>
      </c>
      <c r="AJ13" s="157"/>
      <c r="AK13" s="157" t="s">
        <v>65</v>
      </c>
      <c r="AS13" s="9"/>
    </row>
    <row r="14" spans="1:45" s="110" customFormat="1" ht="25.5" customHeight="1" x14ac:dyDescent="0.2">
      <c r="A14" s="143" t="s">
        <v>161</v>
      </c>
      <c r="B14" s="143" t="s">
        <v>402</v>
      </c>
      <c r="C14" s="154" t="s">
        <v>412</v>
      </c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>
        <v>0.25</v>
      </c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  <c r="AA14" s="115"/>
      <c r="AB14" s="115"/>
      <c r="AC14" s="115"/>
      <c r="AD14" s="115"/>
      <c r="AE14" s="115"/>
      <c r="AF14" s="115"/>
      <c r="AG14" s="115"/>
      <c r="AH14" s="115"/>
      <c r="AI14" s="161">
        <f t="shared" ref="AI14:AI26" si="8">SUM(D14:AH14)</f>
        <v>0.25</v>
      </c>
      <c r="AJ14" s="162">
        <f>SUM(AI14)</f>
        <v>0.25</v>
      </c>
      <c r="AK14" s="163">
        <f>AJ14/AJ$27</f>
        <v>6.4935064935064939E-3</v>
      </c>
    </row>
    <row r="15" spans="1:45" s="110" customFormat="1" ht="25.5" customHeight="1" x14ac:dyDescent="0.2">
      <c r="A15" s="143" t="s">
        <v>161</v>
      </c>
      <c r="B15" s="143" t="s">
        <v>294</v>
      </c>
      <c r="C15" s="154"/>
      <c r="D15" s="115"/>
      <c r="E15" s="115"/>
      <c r="F15" s="115"/>
      <c r="G15" s="115"/>
      <c r="H15" s="115"/>
      <c r="I15" s="115"/>
      <c r="J15" s="115"/>
      <c r="K15" s="115"/>
      <c r="L15" s="115">
        <v>1.25</v>
      </c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  <c r="AA15" s="115"/>
      <c r="AB15" s="115"/>
      <c r="AC15" s="115"/>
      <c r="AD15" s="115"/>
      <c r="AE15" s="115"/>
      <c r="AF15" s="115"/>
      <c r="AG15" s="115"/>
      <c r="AH15" s="115"/>
      <c r="AI15" s="161">
        <f t="shared" si="8"/>
        <v>1.25</v>
      </c>
      <c r="AJ15" s="162">
        <f t="shared" ref="AJ15:AJ26" si="9">SUM(AI15)</f>
        <v>1.25</v>
      </c>
      <c r="AK15" s="163">
        <f>AJ15/AJ$27</f>
        <v>3.2467532467532464E-2</v>
      </c>
    </row>
    <row r="16" spans="1:45" s="110" customFormat="1" ht="25.5" customHeight="1" x14ac:dyDescent="0.2">
      <c r="A16" s="143" t="s">
        <v>392</v>
      </c>
      <c r="B16" s="143" t="s">
        <v>188</v>
      </c>
      <c r="C16" s="153" t="s">
        <v>1173</v>
      </c>
      <c r="D16" s="115"/>
      <c r="E16" s="115"/>
      <c r="F16" s="115"/>
      <c r="G16" s="115"/>
      <c r="H16" s="115"/>
      <c r="I16" s="115"/>
      <c r="J16" s="115"/>
      <c r="K16" s="115"/>
      <c r="L16" s="115"/>
      <c r="M16" s="115">
        <v>0.5</v>
      </c>
      <c r="N16" s="115"/>
      <c r="O16" s="115">
        <v>1</v>
      </c>
      <c r="P16" s="115"/>
      <c r="Q16" s="115"/>
      <c r="R16" s="115"/>
      <c r="S16" s="115">
        <v>0.5</v>
      </c>
      <c r="T16" s="115"/>
      <c r="U16" s="115"/>
      <c r="V16" s="115"/>
      <c r="W16" s="115"/>
      <c r="X16" s="115"/>
      <c r="Y16" s="115"/>
      <c r="Z16" s="115"/>
      <c r="AA16" s="115"/>
      <c r="AB16" s="115"/>
      <c r="AC16" s="115"/>
      <c r="AD16" s="115"/>
      <c r="AE16" s="115"/>
      <c r="AF16" s="115"/>
      <c r="AG16" s="115"/>
      <c r="AH16" s="115"/>
      <c r="AI16" s="161">
        <f t="shared" si="8"/>
        <v>2</v>
      </c>
      <c r="AJ16" s="162">
        <f t="shared" si="9"/>
        <v>2</v>
      </c>
      <c r="AK16" s="163">
        <f>AJ16/AJ$27</f>
        <v>5.1948051948051951E-2</v>
      </c>
      <c r="AQ16" s="9"/>
    </row>
    <row r="17" spans="1:45" s="110" customFormat="1" ht="25.5" customHeight="1" x14ac:dyDescent="0.2">
      <c r="A17" s="143" t="s">
        <v>164</v>
      </c>
      <c r="B17" s="143"/>
      <c r="C17" s="153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  <c r="AA17" s="115"/>
      <c r="AB17" s="115"/>
      <c r="AC17" s="115"/>
      <c r="AD17" s="115"/>
      <c r="AE17" s="115"/>
      <c r="AF17" s="115"/>
      <c r="AG17" s="115"/>
      <c r="AH17" s="115"/>
      <c r="AI17" s="161">
        <f t="shared" si="8"/>
        <v>0</v>
      </c>
      <c r="AJ17" s="162">
        <f t="shared" si="9"/>
        <v>0</v>
      </c>
      <c r="AK17" s="163">
        <f t="shared" ref="AK17:AK26" si="10">AJ17/AJ$27</f>
        <v>0</v>
      </c>
      <c r="AQ17" s="9"/>
    </row>
    <row r="18" spans="1:45" s="110" customFormat="1" ht="27" customHeight="1" x14ac:dyDescent="0.2">
      <c r="A18" s="143" t="s">
        <v>415</v>
      </c>
      <c r="B18" s="143"/>
      <c r="C18" s="154"/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  <c r="AA18" s="115"/>
      <c r="AB18" s="115"/>
      <c r="AC18" s="115"/>
      <c r="AD18" s="115"/>
      <c r="AE18" s="115"/>
      <c r="AF18" s="115"/>
      <c r="AG18" s="115"/>
      <c r="AH18" s="115"/>
      <c r="AI18" s="161">
        <f t="shared" si="8"/>
        <v>0</v>
      </c>
      <c r="AJ18" s="162">
        <f t="shared" si="9"/>
        <v>0</v>
      </c>
      <c r="AK18" s="163">
        <f t="shared" si="10"/>
        <v>0</v>
      </c>
      <c r="AQ18" s="9"/>
    </row>
    <row r="19" spans="1:45" s="110" customFormat="1" ht="31.5" customHeight="1" x14ac:dyDescent="0.2">
      <c r="A19" s="143" t="s">
        <v>394</v>
      </c>
      <c r="B19" s="143" t="s">
        <v>1170</v>
      </c>
      <c r="C19" s="154" t="s">
        <v>1171</v>
      </c>
      <c r="D19" s="115"/>
      <c r="E19" s="115"/>
      <c r="F19" s="115"/>
      <c r="G19" s="115"/>
      <c r="H19" s="115"/>
      <c r="I19" s="115"/>
      <c r="J19" s="115"/>
      <c r="K19" s="115"/>
      <c r="L19" s="115">
        <v>3.25</v>
      </c>
      <c r="M19" s="115">
        <v>2</v>
      </c>
      <c r="N19" s="115"/>
      <c r="O19" s="115"/>
      <c r="P19" s="115">
        <v>0.75</v>
      </c>
      <c r="Q19" s="115"/>
      <c r="R19" s="115"/>
      <c r="S19" s="115">
        <v>1</v>
      </c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115"/>
      <c r="AG19" s="115"/>
      <c r="AH19" s="115"/>
      <c r="AI19" s="161">
        <f t="shared" si="8"/>
        <v>7</v>
      </c>
      <c r="AJ19" s="162">
        <f t="shared" si="9"/>
        <v>7</v>
      </c>
      <c r="AK19" s="163">
        <f t="shared" si="10"/>
        <v>0.18181818181818182</v>
      </c>
      <c r="AQ19" s="9"/>
    </row>
    <row r="20" spans="1:45" s="110" customFormat="1" ht="31.5" customHeight="1" x14ac:dyDescent="0.2">
      <c r="A20" s="143" t="s">
        <v>293</v>
      </c>
      <c r="B20" s="143"/>
      <c r="C20" s="154" t="s">
        <v>1174</v>
      </c>
      <c r="D20" s="115"/>
      <c r="E20" s="115"/>
      <c r="F20" s="115"/>
      <c r="G20" s="115"/>
      <c r="H20" s="115"/>
      <c r="I20" s="115"/>
      <c r="J20" s="115"/>
      <c r="K20" s="115"/>
      <c r="L20" s="115"/>
      <c r="M20" s="115">
        <v>3</v>
      </c>
      <c r="N20" s="115">
        <v>5.75</v>
      </c>
      <c r="O20" s="115">
        <v>4.25</v>
      </c>
      <c r="P20" s="115">
        <v>5.5</v>
      </c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61">
        <f t="shared" si="8"/>
        <v>18.5</v>
      </c>
      <c r="AJ20" s="162">
        <f t="shared" si="9"/>
        <v>18.5</v>
      </c>
      <c r="AK20" s="163">
        <f t="shared" si="10"/>
        <v>0.48051948051948051</v>
      </c>
      <c r="AQ20" s="9"/>
    </row>
    <row r="21" spans="1:45" s="110" customFormat="1" ht="25.5" customHeight="1" x14ac:dyDescent="0.2">
      <c r="A21" s="143" t="s">
        <v>171</v>
      </c>
      <c r="B21" s="143" t="s">
        <v>298</v>
      </c>
      <c r="C21" s="153" t="s">
        <v>413</v>
      </c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61">
        <f t="shared" si="8"/>
        <v>0</v>
      </c>
      <c r="AJ21" s="162">
        <f t="shared" si="9"/>
        <v>0</v>
      </c>
      <c r="AK21" s="163">
        <f t="shared" si="10"/>
        <v>0</v>
      </c>
      <c r="AQ21" s="9"/>
    </row>
    <row r="22" spans="1:45" s="110" customFormat="1" ht="25.5" customHeight="1" x14ac:dyDescent="0.2">
      <c r="A22" s="143" t="s">
        <v>171</v>
      </c>
      <c r="B22" s="143" t="s">
        <v>298</v>
      </c>
      <c r="C22" s="153" t="s">
        <v>416</v>
      </c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61">
        <f t="shared" si="8"/>
        <v>0</v>
      </c>
      <c r="AJ22" s="162">
        <f t="shared" si="9"/>
        <v>0</v>
      </c>
      <c r="AK22" s="163">
        <f t="shared" si="10"/>
        <v>0</v>
      </c>
      <c r="AQ22" s="9"/>
    </row>
    <row r="23" spans="1:45" s="110" customFormat="1" ht="25.5" customHeight="1" x14ac:dyDescent="0.2">
      <c r="A23" s="143" t="s">
        <v>171</v>
      </c>
      <c r="B23" s="143" t="s">
        <v>298</v>
      </c>
      <c r="C23" s="153" t="s">
        <v>1172</v>
      </c>
      <c r="D23" s="115"/>
      <c r="E23" s="115"/>
      <c r="F23" s="115"/>
      <c r="G23" s="115"/>
      <c r="H23" s="115"/>
      <c r="I23" s="115"/>
      <c r="J23" s="115"/>
      <c r="K23" s="115"/>
      <c r="L23" s="115">
        <v>2</v>
      </c>
      <c r="M23" s="115">
        <v>1.5</v>
      </c>
      <c r="N23" s="115">
        <v>0.5</v>
      </c>
      <c r="O23" s="115">
        <v>1</v>
      </c>
      <c r="P23" s="115"/>
      <c r="Q23" s="115"/>
      <c r="R23" s="115"/>
      <c r="S23" s="115">
        <v>4.5</v>
      </c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61">
        <f t="shared" si="8"/>
        <v>9.5</v>
      </c>
      <c r="AJ23" s="162">
        <f t="shared" si="9"/>
        <v>9.5</v>
      </c>
      <c r="AK23" s="163">
        <f t="shared" si="10"/>
        <v>0.24675324675324675</v>
      </c>
      <c r="AQ23" s="9"/>
    </row>
    <row r="24" spans="1:45" s="110" customFormat="1" ht="25.5" customHeight="1" x14ac:dyDescent="0.2">
      <c r="A24" s="143" t="s">
        <v>169</v>
      </c>
      <c r="B24" s="143" t="s">
        <v>295</v>
      </c>
      <c r="C24" s="153"/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61">
        <f t="shared" si="8"/>
        <v>0</v>
      </c>
      <c r="AJ24" s="162">
        <f t="shared" si="9"/>
        <v>0</v>
      </c>
      <c r="AK24" s="163">
        <f t="shared" si="10"/>
        <v>0</v>
      </c>
      <c r="AQ24" s="9"/>
    </row>
    <row r="25" spans="1:45" s="110" customFormat="1" ht="25.5" customHeight="1" x14ac:dyDescent="0.2">
      <c r="A25" s="143" t="s">
        <v>173</v>
      </c>
      <c r="B25" s="143" t="s">
        <v>209</v>
      </c>
      <c r="C25" s="153" t="s">
        <v>479</v>
      </c>
      <c r="D25" s="115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61">
        <f t="shared" si="8"/>
        <v>0</v>
      </c>
      <c r="AJ25" s="162">
        <f t="shared" si="9"/>
        <v>0</v>
      </c>
      <c r="AK25" s="163">
        <f t="shared" si="10"/>
        <v>0</v>
      </c>
      <c r="AQ25" s="9"/>
    </row>
    <row r="26" spans="1:45" s="110" customFormat="1" ht="25.5" customHeight="1" x14ac:dyDescent="0.2">
      <c r="A26" s="143" t="s">
        <v>178</v>
      </c>
      <c r="B26" s="143"/>
      <c r="C26" s="153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5"/>
      <c r="AF26" s="115"/>
      <c r="AG26" s="115"/>
      <c r="AH26" s="115"/>
      <c r="AI26" s="161">
        <f t="shared" si="8"/>
        <v>0</v>
      </c>
      <c r="AJ26" s="162">
        <f t="shared" si="9"/>
        <v>0</v>
      </c>
      <c r="AK26" s="163">
        <f t="shared" si="10"/>
        <v>0</v>
      </c>
      <c r="AQ26" s="9"/>
    </row>
    <row r="27" spans="1:45" ht="21" customHeight="1" thickBot="1" x14ac:dyDescent="0.25">
      <c r="B27" s="193" t="s">
        <v>38</v>
      </c>
      <c r="C27" s="194"/>
      <c r="D27" s="82" t="str">
        <f t="shared" ref="D27:AH27" si="11">IF(OR(D6&lt;0,D6="Wochend")," ",SUM(D14:D26))</f>
        <v xml:space="preserve"> </v>
      </c>
      <c r="E27" s="82">
        <f t="shared" si="11"/>
        <v>0</v>
      </c>
      <c r="F27" s="82">
        <f t="shared" si="11"/>
        <v>0</v>
      </c>
      <c r="G27" s="82">
        <f t="shared" si="11"/>
        <v>0</v>
      </c>
      <c r="H27" s="82">
        <f t="shared" si="11"/>
        <v>0</v>
      </c>
      <c r="I27" s="82">
        <f t="shared" si="11"/>
        <v>0</v>
      </c>
      <c r="J27" s="82" t="str">
        <f t="shared" si="11"/>
        <v xml:space="preserve"> </v>
      </c>
      <c r="K27" s="82" t="str">
        <f t="shared" si="11"/>
        <v xml:space="preserve"> </v>
      </c>
      <c r="L27" s="82">
        <f t="shared" si="11"/>
        <v>6.5</v>
      </c>
      <c r="M27" s="82">
        <f t="shared" si="11"/>
        <v>7</v>
      </c>
      <c r="N27" s="82">
        <f t="shared" si="11"/>
        <v>6.5</v>
      </c>
      <c r="O27" s="82">
        <f t="shared" si="11"/>
        <v>6.25</v>
      </c>
      <c r="P27" s="82">
        <f t="shared" si="11"/>
        <v>6.25</v>
      </c>
      <c r="Q27" s="82" t="str">
        <f t="shared" si="11"/>
        <v xml:space="preserve"> </v>
      </c>
      <c r="R27" s="82" t="str">
        <f t="shared" si="11"/>
        <v xml:space="preserve"> </v>
      </c>
      <c r="S27" s="82">
        <f t="shared" si="11"/>
        <v>6</v>
      </c>
      <c r="T27" s="82">
        <f t="shared" si="11"/>
        <v>0</v>
      </c>
      <c r="U27" s="82">
        <f t="shared" si="11"/>
        <v>0</v>
      </c>
      <c r="V27" s="82">
        <f t="shared" si="11"/>
        <v>0</v>
      </c>
      <c r="W27" s="82">
        <f t="shared" si="11"/>
        <v>0</v>
      </c>
      <c r="X27" s="82" t="str">
        <f t="shared" si="11"/>
        <v xml:space="preserve"> </v>
      </c>
      <c r="Y27" s="82" t="str">
        <f t="shared" si="11"/>
        <v xml:space="preserve"> </v>
      </c>
      <c r="Z27" s="82">
        <f t="shared" si="11"/>
        <v>0</v>
      </c>
      <c r="AA27" s="82">
        <f t="shared" si="11"/>
        <v>0</v>
      </c>
      <c r="AB27" s="82">
        <f t="shared" si="11"/>
        <v>0</v>
      </c>
      <c r="AC27" s="82">
        <f t="shared" si="11"/>
        <v>0</v>
      </c>
      <c r="AD27" s="82">
        <f t="shared" si="11"/>
        <v>0</v>
      </c>
      <c r="AE27" s="82" t="str">
        <f t="shared" si="11"/>
        <v xml:space="preserve"> </v>
      </c>
      <c r="AF27" s="82" t="str">
        <f t="shared" si="11"/>
        <v xml:space="preserve"> </v>
      </c>
      <c r="AG27" s="82">
        <f t="shared" si="11"/>
        <v>0</v>
      </c>
      <c r="AH27" s="82">
        <f t="shared" si="11"/>
        <v>0</v>
      </c>
      <c r="AI27" s="158">
        <f t="shared" ref="AI27:AI34" si="12">SUM(D27:AH27)</f>
        <v>38.5</v>
      </c>
      <c r="AJ27" s="159">
        <f>SUM(AI14:AI26)</f>
        <v>38.5</v>
      </c>
      <c r="AK27" s="160">
        <f>SUM(AK14:AK26)</f>
        <v>1</v>
      </c>
      <c r="AS27" s="9"/>
    </row>
    <row r="28" spans="1:45" ht="21" customHeight="1" thickTop="1" thickBot="1" x14ac:dyDescent="0.25">
      <c r="B28" s="211" t="s">
        <v>70</v>
      </c>
      <c r="C28" s="212"/>
      <c r="D28" s="10" t="str">
        <f t="shared" ref="D28:AH28" si="13">IF(D$5="Gleitzeit"," ",IF(D7=0," ",D7-SUM(D14:D26)))</f>
        <v xml:space="preserve"> </v>
      </c>
      <c r="E28" s="10" t="str">
        <f t="shared" si="13"/>
        <v xml:space="preserve"> </v>
      </c>
      <c r="F28" s="10" t="str">
        <f t="shared" si="13"/>
        <v xml:space="preserve"> </v>
      </c>
      <c r="G28" s="10" t="str">
        <f t="shared" si="13"/>
        <v xml:space="preserve"> </v>
      </c>
      <c r="H28" s="10" t="str">
        <f t="shared" si="13"/>
        <v xml:space="preserve"> </v>
      </c>
      <c r="I28" s="10" t="str">
        <f t="shared" si="13"/>
        <v xml:space="preserve"> </v>
      </c>
      <c r="J28" s="10" t="str">
        <f t="shared" si="13"/>
        <v xml:space="preserve"> </v>
      </c>
      <c r="K28" s="10" t="str">
        <f t="shared" si="13"/>
        <v xml:space="preserve"> </v>
      </c>
      <c r="L28" s="10">
        <f t="shared" si="13"/>
        <v>8.8817841970012523E-16</v>
      </c>
      <c r="M28" s="10">
        <f t="shared" si="13"/>
        <v>1.7763568394002505E-15</v>
      </c>
      <c r="N28" s="10">
        <f t="shared" si="13"/>
        <v>8.8817841970012523E-16</v>
      </c>
      <c r="O28" s="10">
        <f t="shared" si="13"/>
        <v>1.7763568394002505E-15</v>
      </c>
      <c r="P28" s="10">
        <f t="shared" si="13"/>
        <v>1.7763568394002505E-15</v>
      </c>
      <c r="Q28" s="10" t="str">
        <f t="shared" si="13"/>
        <v xml:space="preserve"> </v>
      </c>
      <c r="R28" s="10" t="str">
        <f t="shared" si="13"/>
        <v xml:space="preserve"> </v>
      </c>
      <c r="S28" s="10">
        <f t="shared" si="13"/>
        <v>-8.8817841970012523E-16</v>
      </c>
      <c r="T28" s="10" t="str">
        <f t="shared" si="13"/>
        <v xml:space="preserve"> </v>
      </c>
      <c r="U28" s="10" t="str">
        <f t="shared" si="13"/>
        <v xml:space="preserve"> </v>
      </c>
      <c r="V28" s="10" t="str">
        <f t="shared" si="13"/>
        <v xml:space="preserve"> </v>
      </c>
      <c r="W28" s="10" t="str">
        <f t="shared" si="13"/>
        <v xml:space="preserve"> </v>
      </c>
      <c r="X28" s="10" t="str">
        <f t="shared" si="13"/>
        <v xml:space="preserve"> </v>
      </c>
      <c r="Y28" s="10" t="str">
        <f t="shared" si="13"/>
        <v xml:space="preserve"> </v>
      </c>
      <c r="Z28" s="10" t="str">
        <f t="shared" si="13"/>
        <v xml:space="preserve"> </v>
      </c>
      <c r="AA28" s="10" t="str">
        <f t="shared" si="13"/>
        <v xml:space="preserve"> </v>
      </c>
      <c r="AB28" s="10" t="str">
        <f t="shared" si="13"/>
        <v xml:space="preserve"> </v>
      </c>
      <c r="AC28" s="10" t="str">
        <f t="shared" si="13"/>
        <v xml:space="preserve"> </v>
      </c>
      <c r="AD28" s="10" t="str">
        <f t="shared" si="13"/>
        <v xml:space="preserve"> </v>
      </c>
      <c r="AE28" s="10" t="str">
        <f t="shared" si="13"/>
        <v xml:space="preserve"> </v>
      </c>
      <c r="AF28" s="10" t="str">
        <f t="shared" si="13"/>
        <v xml:space="preserve"> </v>
      </c>
      <c r="AG28" s="10" t="str">
        <f t="shared" si="13"/>
        <v xml:space="preserve"> </v>
      </c>
      <c r="AH28" s="10" t="str">
        <f t="shared" si="13"/>
        <v xml:space="preserve"> </v>
      </c>
      <c r="AI28" s="165">
        <f t="shared" si="12"/>
        <v>6.2172489379008766E-15</v>
      </c>
      <c r="AJ28" s="150">
        <f>SUM(AI27:AI28)</f>
        <v>38.500000000000007</v>
      </c>
      <c r="AK28" s="176" t="s">
        <v>44</v>
      </c>
      <c r="AL28" s="174"/>
      <c r="AM28" s="174"/>
      <c r="AN28" s="175"/>
      <c r="AS28" s="9"/>
    </row>
    <row r="29" spans="1:45" ht="21" customHeight="1" x14ac:dyDescent="0.2">
      <c r="B29" s="205" t="s">
        <v>63</v>
      </c>
      <c r="C29" s="206"/>
      <c r="D29" s="139" t="str">
        <f>IF(D4="K",D$35," ")</f>
        <v xml:space="preserve"> </v>
      </c>
      <c r="E29" s="139" t="str">
        <f>IF(E$4="K",E$35," ")</f>
        <v xml:space="preserve"> </v>
      </c>
      <c r="F29" s="139" t="str">
        <f>IF(F$4="K",F$35," ")</f>
        <v xml:space="preserve"> </v>
      </c>
      <c r="G29" s="139" t="str">
        <f>IF(G$4="K",G$35," ")</f>
        <v xml:space="preserve"> </v>
      </c>
      <c r="H29" s="139" t="str">
        <f>IF(H$4="K",H$35," ")</f>
        <v xml:space="preserve"> </v>
      </c>
      <c r="I29" s="139" t="str">
        <f>IF(I4="K",I$35," ")</f>
        <v xml:space="preserve"> </v>
      </c>
      <c r="J29" s="139" t="str">
        <f t="shared" ref="J29:O29" si="14">IF(J$4="K",J$35," ")</f>
        <v xml:space="preserve"> </v>
      </c>
      <c r="K29" s="139" t="str">
        <f t="shared" si="14"/>
        <v xml:space="preserve"> </v>
      </c>
      <c r="L29" s="139" t="str">
        <f t="shared" si="14"/>
        <v xml:space="preserve"> </v>
      </c>
      <c r="M29" s="139" t="str">
        <f t="shared" si="14"/>
        <v xml:space="preserve"> </v>
      </c>
      <c r="N29" s="139" t="str">
        <f t="shared" si="14"/>
        <v xml:space="preserve"> </v>
      </c>
      <c r="O29" s="139" t="str">
        <f t="shared" si="14"/>
        <v xml:space="preserve"> </v>
      </c>
      <c r="P29" s="139" t="str">
        <f>IF(P4="K",P$35," ")</f>
        <v xml:space="preserve"> </v>
      </c>
      <c r="Q29" s="139" t="str">
        <f t="shared" ref="Q29:V29" si="15">IF(Q$4="K",Q$35," ")</f>
        <v xml:space="preserve"> </v>
      </c>
      <c r="R29" s="139" t="str">
        <f t="shared" si="15"/>
        <v xml:space="preserve"> </v>
      </c>
      <c r="S29" s="139" t="str">
        <f t="shared" si="15"/>
        <v xml:space="preserve"> </v>
      </c>
      <c r="T29" s="139" t="str">
        <f t="shared" si="15"/>
        <v xml:space="preserve"> </v>
      </c>
      <c r="U29" s="139" t="str">
        <f t="shared" si="15"/>
        <v xml:space="preserve"> </v>
      </c>
      <c r="V29" s="139" t="str">
        <f t="shared" si="15"/>
        <v xml:space="preserve"> </v>
      </c>
      <c r="W29" s="139" t="str">
        <f>IF(W4="K",W$35," ")</f>
        <v xml:space="preserve"> </v>
      </c>
      <c r="X29" s="139" t="str">
        <f t="shared" ref="X29:AC29" si="16">IF(X$4="K",X$35," ")</f>
        <v xml:space="preserve"> </v>
      </c>
      <c r="Y29" s="139" t="str">
        <f t="shared" si="16"/>
        <v xml:space="preserve"> </v>
      </c>
      <c r="Z29" s="139" t="str">
        <f t="shared" si="16"/>
        <v xml:space="preserve"> </v>
      </c>
      <c r="AA29" s="139" t="str">
        <f t="shared" si="16"/>
        <v xml:space="preserve"> </v>
      </c>
      <c r="AB29" s="139" t="str">
        <f t="shared" si="16"/>
        <v xml:space="preserve"> </v>
      </c>
      <c r="AC29" s="139" t="str">
        <f t="shared" si="16"/>
        <v xml:space="preserve"> </v>
      </c>
      <c r="AD29" s="139" t="str">
        <f>IF(AD4="K",AD$35," ")</f>
        <v xml:space="preserve"> </v>
      </c>
      <c r="AE29" s="139" t="str">
        <f>IF(AE$4="K",AE$35," ")</f>
        <v xml:space="preserve"> </v>
      </c>
      <c r="AF29" s="139" t="str">
        <f>IF(AF$4="K",AF$35," ")</f>
        <v xml:space="preserve"> </v>
      </c>
      <c r="AG29" s="139" t="str">
        <f>IF(AG$4="K",AG$35," ")</f>
        <v xml:space="preserve"> </v>
      </c>
      <c r="AH29" s="164" t="str">
        <f>IF(AH$4="K",AH$35," ")</f>
        <v xml:space="preserve"> </v>
      </c>
      <c r="AI29" s="165">
        <f>SUM(D29:AH29)</f>
        <v>0</v>
      </c>
      <c r="AJ29" s="75"/>
      <c r="AS29" s="9"/>
    </row>
    <row r="30" spans="1:45" ht="21" customHeight="1" x14ac:dyDescent="0.2">
      <c r="B30" s="185" t="s">
        <v>39</v>
      </c>
      <c r="C30" s="186"/>
      <c r="D30" s="139" t="str">
        <f t="shared" ref="D30:AH30" si="17">IF(D4="U",D$35," ")</f>
        <v xml:space="preserve"> </v>
      </c>
      <c r="E30" s="139" t="str">
        <f t="shared" si="17"/>
        <v xml:space="preserve"> </v>
      </c>
      <c r="F30" s="139">
        <f t="shared" si="17"/>
        <v>6</v>
      </c>
      <c r="G30" s="139">
        <f t="shared" si="17"/>
        <v>6</v>
      </c>
      <c r="H30" s="139">
        <f t="shared" si="17"/>
        <v>6</v>
      </c>
      <c r="I30" s="139">
        <f t="shared" si="17"/>
        <v>6</v>
      </c>
      <c r="J30" s="139" t="str">
        <f t="shared" si="17"/>
        <v xml:space="preserve"> </v>
      </c>
      <c r="K30" s="139" t="str">
        <f t="shared" si="17"/>
        <v xml:space="preserve"> </v>
      </c>
      <c r="L30" s="139" t="str">
        <f t="shared" si="17"/>
        <v xml:space="preserve"> </v>
      </c>
      <c r="M30" s="139" t="str">
        <f t="shared" si="17"/>
        <v xml:space="preserve"> </v>
      </c>
      <c r="N30" s="139" t="str">
        <f t="shared" si="17"/>
        <v xml:space="preserve"> </v>
      </c>
      <c r="O30" s="139" t="str">
        <f t="shared" si="17"/>
        <v xml:space="preserve"> </v>
      </c>
      <c r="P30" s="139" t="str">
        <f t="shared" si="17"/>
        <v xml:space="preserve"> </v>
      </c>
      <c r="Q30" s="139" t="str">
        <f t="shared" si="17"/>
        <v xml:space="preserve"> </v>
      </c>
      <c r="R30" s="139" t="str">
        <f t="shared" si="17"/>
        <v xml:space="preserve"> </v>
      </c>
      <c r="S30" s="139" t="str">
        <f t="shared" si="17"/>
        <v xml:space="preserve"> </v>
      </c>
      <c r="T30" s="139" t="str">
        <f t="shared" si="17"/>
        <v xml:space="preserve"> </v>
      </c>
      <c r="U30" s="139" t="str">
        <f t="shared" si="17"/>
        <v xml:space="preserve"> </v>
      </c>
      <c r="V30" s="139" t="str">
        <f t="shared" si="17"/>
        <v xml:space="preserve"> </v>
      </c>
      <c r="W30" s="139" t="str">
        <f t="shared" si="17"/>
        <v xml:space="preserve"> </v>
      </c>
      <c r="X30" s="139" t="str">
        <f t="shared" si="17"/>
        <v xml:space="preserve"> </v>
      </c>
      <c r="Y30" s="139" t="str">
        <f t="shared" si="17"/>
        <v xml:space="preserve"> </v>
      </c>
      <c r="Z30" s="139" t="str">
        <f t="shared" si="17"/>
        <v xml:space="preserve"> </v>
      </c>
      <c r="AA30" s="139" t="str">
        <f t="shared" si="17"/>
        <v xml:space="preserve"> </v>
      </c>
      <c r="AB30" s="139" t="str">
        <f t="shared" si="17"/>
        <v xml:space="preserve"> </v>
      </c>
      <c r="AC30" s="139" t="str">
        <f t="shared" si="17"/>
        <v xml:space="preserve"> </v>
      </c>
      <c r="AD30" s="139" t="str">
        <f t="shared" si="17"/>
        <v xml:space="preserve"> </v>
      </c>
      <c r="AE30" s="139" t="str">
        <f t="shared" si="17"/>
        <v xml:space="preserve"> </v>
      </c>
      <c r="AF30" s="139" t="str">
        <f t="shared" si="17"/>
        <v xml:space="preserve"> </v>
      </c>
      <c r="AG30" s="139" t="str">
        <f t="shared" si="17"/>
        <v xml:space="preserve"> </v>
      </c>
      <c r="AH30" s="139" t="str">
        <f t="shared" si="17"/>
        <v xml:space="preserve"> </v>
      </c>
      <c r="AI30" s="165">
        <f>SUM(D30:AH30)</f>
        <v>24</v>
      </c>
      <c r="AJ30" s="15"/>
      <c r="AS30" s="9"/>
    </row>
    <row r="31" spans="1:45" ht="21" customHeight="1" thickBot="1" x14ac:dyDescent="0.25">
      <c r="B31" s="191" t="s">
        <v>40</v>
      </c>
      <c r="C31" s="192"/>
      <c r="D31" s="3" t="str">
        <f t="shared" ref="D31:AH31" si="18">IF(OR(D6&lt;0,D6="Wochend")," ",SUM(D28:D30))</f>
        <v xml:space="preserve"> </v>
      </c>
      <c r="E31" s="3">
        <f t="shared" si="18"/>
        <v>0</v>
      </c>
      <c r="F31" s="3">
        <f t="shared" si="18"/>
        <v>6</v>
      </c>
      <c r="G31" s="3">
        <f t="shared" si="18"/>
        <v>6</v>
      </c>
      <c r="H31" s="3">
        <f t="shared" si="18"/>
        <v>6</v>
      </c>
      <c r="I31" s="3">
        <f t="shared" si="18"/>
        <v>6</v>
      </c>
      <c r="J31" s="3" t="str">
        <f t="shared" si="18"/>
        <v xml:space="preserve"> </v>
      </c>
      <c r="K31" s="3" t="str">
        <f t="shared" si="18"/>
        <v xml:space="preserve"> </v>
      </c>
      <c r="L31" s="3">
        <f t="shared" si="18"/>
        <v>8.8817841970012523E-16</v>
      </c>
      <c r="M31" s="3">
        <f t="shared" si="18"/>
        <v>1.7763568394002505E-15</v>
      </c>
      <c r="N31" s="3">
        <f t="shared" si="18"/>
        <v>8.8817841970012523E-16</v>
      </c>
      <c r="O31" s="3">
        <f t="shared" si="18"/>
        <v>1.7763568394002505E-15</v>
      </c>
      <c r="P31" s="3">
        <f t="shared" si="18"/>
        <v>1.7763568394002505E-15</v>
      </c>
      <c r="Q31" s="3" t="str">
        <f t="shared" si="18"/>
        <v xml:space="preserve"> </v>
      </c>
      <c r="R31" s="3" t="str">
        <f t="shared" si="18"/>
        <v xml:space="preserve"> </v>
      </c>
      <c r="S31" s="3">
        <f t="shared" si="18"/>
        <v>-8.8817841970012523E-16</v>
      </c>
      <c r="T31" s="3">
        <f t="shared" si="18"/>
        <v>0</v>
      </c>
      <c r="U31" s="3">
        <f t="shared" si="18"/>
        <v>0</v>
      </c>
      <c r="V31" s="3">
        <f t="shared" si="18"/>
        <v>0</v>
      </c>
      <c r="W31" s="3">
        <f t="shared" si="18"/>
        <v>0</v>
      </c>
      <c r="X31" s="3" t="str">
        <f t="shared" si="18"/>
        <v xml:space="preserve"> </v>
      </c>
      <c r="Y31" s="3" t="str">
        <f t="shared" si="18"/>
        <v xml:space="preserve"> </v>
      </c>
      <c r="Z31" s="3">
        <f t="shared" si="18"/>
        <v>0</v>
      </c>
      <c r="AA31" s="3">
        <f t="shared" si="18"/>
        <v>0</v>
      </c>
      <c r="AB31" s="3">
        <f t="shared" si="18"/>
        <v>0</v>
      </c>
      <c r="AC31" s="3">
        <f t="shared" si="18"/>
        <v>0</v>
      </c>
      <c r="AD31" s="3">
        <f t="shared" si="18"/>
        <v>0</v>
      </c>
      <c r="AE31" s="3" t="str">
        <f t="shared" si="18"/>
        <v xml:space="preserve"> </v>
      </c>
      <c r="AF31" s="3" t="str">
        <f t="shared" si="18"/>
        <v xml:space="preserve"> </v>
      </c>
      <c r="AG31" s="3">
        <f t="shared" si="18"/>
        <v>0</v>
      </c>
      <c r="AH31" s="3">
        <f t="shared" si="18"/>
        <v>0</v>
      </c>
      <c r="AI31" s="155">
        <f t="shared" si="12"/>
        <v>24</v>
      </c>
      <c r="AJ31" s="146"/>
      <c r="AL31" s="14"/>
      <c r="AM31" s="14"/>
      <c r="AN31" s="15"/>
      <c r="AS31" s="9"/>
    </row>
    <row r="32" spans="1:45" ht="27" customHeight="1" thickTop="1" thickBot="1" x14ac:dyDescent="0.25">
      <c r="B32" s="183" t="s">
        <v>41</v>
      </c>
      <c r="C32" s="184"/>
      <c r="D32" s="18" t="str">
        <f t="shared" ref="D32:AH32" si="19">IF(OR(D6="nicht anw.",D6="Wochend")," ",SUM(D31,D27))</f>
        <v xml:space="preserve"> </v>
      </c>
      <c r="E32" s="18">
        <f t="shared" si="19"/>
        <v>0</v>
      </c>
      <c r="F32" s="18">
        <f t="shared" si="19"/>
        <v>6</v>
      </c>
      <c r="G32" s="18">
        <f t="shared" si="19"/>
        <v>6</v>
      </c>
      <c r="H32" s="18">
        <f t="shared" si="19"/>
        <v>6</v>
      </c>
      <c r="I32" s="18">
        <f t="shared" si="19"/>
        <v>6</v>
      </c>
      <c r="J32" s="18" t="str">
        <f t="shared" si="19"/>
        <v xml:space="preserve"> </v>
      </c>
      <c r="K32" s="18" t="str">
        <f t="shared" si="19"/>
        <v xml:space="preserve"> </v>
      </c>
      <c r="L32" s="18">
        <f t="shared" si="19"/>
        <v>6.5000000000000009</v>
      </c>
      <c r="M32" s="18">
        <f t="shared" si="19"/>
        <v>7.0000000000000018</v>
      </c>
      <c r="N32" s="18">
        <f t="shared" si="19"/>
        <v>6.5000000000000009</v>
      </c>
      <c r="O32" s="18">
        <f t="shared" si="19"/>
        <v>6.2500000000000018</v>
      </c>
      <c r="P32" s="18">
        <f t="shared" si="19"/>
        <v>6.2500000000000018</v>
      </c>
      <c r="Q32" s="18" t="str">
        <f t="shared" si="19"/>
        <v xml:space="preserve"> </v>
      </c>
      <c r="R32" s="18" t="str">
        <f t="shared" si="19"/>
        <v xml:space="preserve"> </v>
      </c>
      <c r="S32" s="18">
        <f t="shared" si="19"/>
        <v>5.9999999999999991</v>
      </c>
      <c r="T32" s="18">
        <f t="shared" si="19"/>
        <v>0</v>
      </c>
      <c r="U32" s="18">
        <f t="shared" si="19"/>
        <v>0</v>
      </c>
      <c r="V32" s="18">
        <f t="shared" si="19"/>
        <v>0</v>
      </c>
      <c r="W32" s="18">
        <f t="shared" si="19"/>
        <v>0</v>
      </c>
      <c r="X32" s="18" t="str">
        <f t="shared" si="19"/>
        <v xml:space="preserve"> </v>
      </c>
      <c r="Y32" s="18" t="str">
        <f t="shared" si="19"/>
        <v xml:space="preserve"> </v>
      </c>
      <c r="Z32" s="18">
        <f t="shared" si="19"/>
        <v>0</v>
      </c>
      <c r="AA32" s="18">
        <f t="shared" si="19"/>
        <v>0</v>
      </c>
      <c r="AB32" s="18">
        <f t="shared" si="19"/>
        <v>0</v>
      </c>
      <c r="AC32" s="18">
        <f t="shared" si="19"/>
        <v>0</v>
      </c>
      <c r="AD32" s="18">
        <f t="shared" si="19"/>
        <v>0</v>
      </c>
      <c r="AE32" s="18" t="str">
        <f t="shared" si="19"/>
        <v xml:space="preserve"> </v>
      </c>
      <c r="AF32" s="18" t="str">
        <f t="shared" si="19"/>
        <v xml:space="preserve"> </v>
      </c>
      <c r="AG32" s="18">
        <f t="shared" si="19"/>
        <v>0</v>
      </c>
      <c r="AH32" s="18">
        <f t="shared" si="19"/>
        <v>0</v>
      </c>
      <c r="AI32" s="19">
        <f t="shared" si="12"/>
        <v>62.5</v>
      </c>
      <c r="AJ32" s="147">
        <f>AI27+AI31</f>
        <v>62.5</v>
      </c>
      <c r="AK32" s="173" t="s">
        <v>45</v>
      </c>
      <c r="AL32" s="174"/>
      <c r="AM32" s="174"/>
      <c r="AN32" s="175"/>
      <c r="AS32" s="9"/>
    </row>
    <row r="33" spans="2:45" ht="27" customHeight="1" thickBot="1" x14ac:dyDescent="0.25">
      <c r="B33" s="187" t="s">
        <v>67</v>
      </c>
      <c r="C33" s="188"/>
      <c r="D33" s="127">
        <f t="shared" ref="D33:AH33" si="20">IF(D$7=0,0,IF(D$7&gt;=D$35,IF(AND(ISNUMBER((D$6)*24),(D$6)*24&gt;=D$35)=TRUE,ROUND((D$6)*24-D$35,2),0),0))</f>
        <v>0</v>
      </c>
      <c r="E33" s="17">
        <f t="shared" si="20"/>
        <v>0</v>
      </c>
      <c r="F33" s="17">
        <f t="shared" si="20"/>
        <v>0</v>
      </c>
      <c r="G33" s="17">
        <f t="shared" si="20"/>
        <v>0</v>
      </c>
      <c r="H33" s="17">
        <f t="shared" si="20"/>
        <v>0</v>
      </c>
      <c r="I33" s="127">
        <f t="shared" si="20"/>
        <v>0</v>
      </c>
      <c r="J33" s="17">
        <f t="shared" si="20"/>
        <v>0</v>
      </c>
      <c r="K33" s="17">
        <f t="shared" si="20"/>
        <v>0</v>
      </c>
      <c r="L33" s="17">
        <f t="shared" si="20"/>
        <v>0.5</v>
      </c>
      <c r="M33" s="17">
        <f t="shared" si="20"/>
        <v>1</v>
      </c>
      <c r="N33" s="17">
        <f t="shared" si="20"/>
        <v>0.5</v>
      </c>
      <c r="O33" s="17">
        <f t="shared" si="20"/>
        <v>0.25</v>
      </c>
      <c r="P33" s="127">
        <f t="shared" si="20"/>
        <v>0.25</v>
      </c>
      <c r="Q33" s="17">
        <f t="shared" si="20"/>
        <v>0</v>
      </c>
      <c r="R33" s="17">
        <f t="shared" si="20"/>
        <v>0</v>
      </c>
      <c r="S33" s="17">
        <f t="shared" si="20"/>
        <v>0</v>
      </c>
      <c r="T33" s="17">
        <f t="shared" si="20"/>
        <v>0</v>
      </c>
      <c r="U33" s="17">
        <f t="shared" si="20"/>
        <v>0</v>
      </c>
      <c r="V33" s="17">
        <f t="shared" si="20"/>
        <v>0</v>
      </c>
      <c r="W33" s="127">
        <f t="shared" si="20"/>
        <v>0</v>
      </c>
      <c r="X33" s="17">
        <f t="shared" si="20"/>
        <v>0</v>
      </c>
      <c r="Y33" s="17">
        <f t="shared" si="20"/>
        <v>0</v>
      </c>
      <c r="Z33" s="17">
        <f t="shared" si="20"/>
        <v>0</v>
      </c>
      <c r="AA33" s="17">
        <f t="shared" si="20"/>
        <v>0</v>
      </c>
      <c r="AB33" s="17">
        <f t="shared" si="20"/>
        <v>0</v>
      </c>
      <c r="AC33" s="17">
        <f t="shared" si="20"/>
        <v>0</v>
      </c>
      <c r="AD33" s="127">
        <f t="shared" si="20"/>
        <v>0</v>
      </c>
      <c r="AE33" s="17">
        <f t="shared" si="20"/>
        <v>0</v>
      </c>
      <c r="AF33" s="17">
        <f t="shared" si="20"/>
        <v>0</v>
      </c>
      <c r="AG33" s="17">
        <f t="shared" si="20"/>
        <v>0</v>
      </c>
      <c r="AH33" s="17">
        <f t="shared" si="20"/>
        <v>0</v>
      </c>
      <c r="AI33" s="16">
        <f t="shared" si="12"/>
        <v>2.5</v>
      </c>
      <c r="AJ33" s="156"/>
      <c r="AS33" s="9"/>
    </row>
    <row r="34" spans="2:45" ht="27" customHeight="1" thickTop="1" thickBot="1" x14ac:dyDescent="0.25">
      <c r="B34" s="189" t="s">
        <v>68</v>
      </c>
      <c r="C34" s="190"/>
      <c r="D34" s="1">
        <f t="shared" ref="D34:AH34" si="21">IF(ISERROR(TEXT(DATEVALUE(CONCATENATE(D$2," ",$AD$11," ",$AG$11)),"TTT")),0,IF(D$5="Gleitzeit",6,IF(AND(D$7&lt;D$35,D$7&gt;0),IF(AND(ISNUMBER((D$6)*24),(D$6)*24&lt;D$35)=TRUE,ABS((D$6)*24-D$35),0),0)))</f>
        <v>0</v>
      </c>
      <c r="E34" s="1">
        <f t="shared" si="21"/>
        <v>0</v>
      </c>
      <c r="F34" s="1">
        <f t="shared" si="21"/>
        <v>0</v>
      </c>
      <c r="G34" s="1">
        <f t="shared" si="21"/>
        <v>0</v>
      </c>
      <c r="H34" s="1">
        <f t="shared" si="21"/>
        <v>0</v>
      </c>
      <c r="I34" s="1">
        <f t="shared" si="21"/>
        <v>0</v>
      </c>
      <c r="J34" s="1">
        <f t="shared" si="21"/>
        <v>0</v>
      </c>
      <c r="K34" s="1">
        <f t="shared" si="21"/>
        <v>0</v>
      </c>
      <c r="L34" s="1">
        <f t="shared" si="21"/>
        <v>0</v>
      </c>
      <c r="M34" s="1">
        <f t="shared" si="21"/>
        <v>0</v>
      </c>
      <c r="N34" s="1">
        <f t="shared" si="21"/>
        <v>0</v>
      </c>
      <c r="O34" s="1">
        <f t="shared" si="21"/>
        <v>0</v>
      </c>
      <c r="P34" s="1">
        <f t="shared" si="21"/>
        <v>0</v>
      </c>
      <c r="Q34" s="1">
        <f t="shared" si="21"/>
        <v>0</v>
      </c>
      <c r="R34" s="1">
        <f t="shared" si="21"/>
        <v>0</v>
      </c>
      <c r="S34" s="1">
        <f t="shared" si="21"/>
        <v>0</v>
      </c>
      <c r="T34" s="1">
        <f t="shared" si="21"/>
        <v>0</v>
      </c>
      <c r="U34" s="1">
        <f t="shared" si="21"/>
        <v>0</v>
      </c>
      <c r="V34" s="1">
        <f t="shared" si="21"/>
        <v>0</v>
      </c>
      <c r="W34" s="1">
        <f t="shared" si="21"/>
        <v>0</v>
      </c>
      <c r="X34" s="1">
        <f t="shared" si="21"/>
        <v>0</v>
      </c>
      <c r="Y34" s="1">
        <f t="shared" si="21"/>
        <v>0</v>
      </c>
      <c r="Z34" s="1">
        <f t="shared" si="21"/>
        <v>0</v>
      </c>
      <c r="AA34" s="1">
        <f t="shared" si="21"/>
        <v>0</v>
      </c>
      <c r="AB34" s="1">
        <f t="shared" si="21"/>
        <v>0</v>
      </c>
      <c r="AC34" s="1">
        <f t="shared" si="21"/>
        <v>0</v>
      </c>
      <c r="AD34" s="1">
        <f t="shared" si="21"/>
        <v>0</v>
      </c>
      <c r="AE34" s="1">
        <f t="shared" si="21"/>
        <v>0</v>
      </c>
      <c r="AF34" s="1">
        <f t="shared" si="21"/>
        <v>0</v>
      </c>
      <c r="AG34" s="1">
        <f t="shared" si="21"/>
        <v>6</v>
      </c>
      <c r="AH34" s="1">
        <f t="shared" si="21"/>
        <v>0</v>
      </c>
      <c r="AI34" s="16">
        <f t="shared" si="12"/>
        <v>6</v>
      </c>
      <c r="AJ34" s="156">
        <f>AI33-AI34</f>
        <v>-3.5</v>
      </c>
      <c r="AK34" s="176" t="s">
        <v>46</v>
      </c>
      <c r="AL34" s="174"/>
      <c r="AM34" s="174"/>
      <c r="AN34" s="175"/>
      <c r="AO34" s="11"/>
      <c r="AS34" s="9"/>
    </row>
    <row r="35" spans="2:45" ht="30" customHeight="1" thickTop="1" thickBot="1" x14ac:dyDescent="0.25">
      <c r="B35" s="168" t="s">
        <v>48</v>
      </c>
      <c r="C35" s="169"/>
      <c r="D35" s="12">
        <f t="shared" ref="D35:AH35" si="22">IF(ISERROR(TEXT(DATEVALUE(CONCATENATE(D$2," ",$AD$11," ",$AG$11)),"TTT")),0,IF(WEEKDAY(CONCATENATE(D$2," ",$AD$11," ",$AG$11),2)&lt;6,IF(D4="F",0,6),IF(WEEKDAY(CONCATENATE(D$2," ",$AD$11," ",$AG$11),2)=6,0,0)))</f>
        <v>0</v>
      </c>
      <c r="E35" s="12">
        <f t="shared" si="22"/>
        <v>0</v>
      </c>
      <c r="F35" s="12">
        <f t="shared" si="22"/>
        <v>6</v>
      </c>
      <c r="G35" s="12">
        <f t="shared" si="22"/>
        <v>6</v>
      </c>
      <c r="H35" s="12">
        <f t="shared" si="22"/>
        <v>6</v>
      </c>
      <c r="I35" s="12">
        <f t="shared" si="22"/>
        <v>6</v>
      </c>
      <c r="J35" s="12">
        <f t="shared" si="22"/>
        <v>0</v>
      </c>
      <c r="K35" s="12">
        <f t="shared" si="22"/>
        <v>0</v>
      </c>
      <c r="L35" s="12">
        <f t="shared" si="22"/>
        <v>6</v>
      </c>
      <c r="M35" s="12">
        <f t="shared" si="22"/>
        <v>6</v>
      </c>
      <c r="N35" s="12">
        <f t="shared" si="22"/>
        <v>6</v>
      </c>
      <c r="O35" s="12">
        <f t="shared" si="22"/>
        <v>6</v>
      </c>
      <c r="P35" s="12">
        <f t="shared" si="22"/>
        <v>6</v>
      </c>
      <c r="Q35" s="12">
        <f t="shared" si="22"/>
        <v>0</v>
      </c>
      <c r="R35" s="12">
        <f t="shared" si="22"/>
        <v>0</v>
      </c>
      <c r="S35" s="12">
        <f t="shared" si="22"/>
        <v>6</v>
      </c>
      <c r="T35" s="12">
        <f t="shared" si="22"/>
        <v>6</v>
      </c>
      <c r="U35" s="12">
        <f t="shared" si="22"/>
        <v>6</v>
      </c>
      <c r="V35" s="12">
        <f t="shared" si="22"/>
        <v>6</v>
      </c>
      <c r="W35" s="12">
        <f t="shared" si="22"/>
        <v>6</v>
      </c>
      <c r="X35" s="12">
        <f t="shared" si="22"/>
        <v>0</v>
      </c>
      <c r="Y35" s="12">
        <f t="shared" si="22"/>
        <v>0</v>
      </c>
      <c r="Z35" s="12">
        <f t="shared" si="22"/>
        <v>6</v>
      </c>
      <c r="AA35" s="12">
        <f t="shared" si="22"/>
        <v>6</v>
      </c>
      <c r="AB35" s="12">
        <f t="shared" si="22"/>
        <v>6</v>
      </c>
      <c r="AC35" s="12">
        <f t="shared" si="22"/>
        <v>6</v>
      </c>
      <c r="AD35" s="12">
        <f t="shared" si="22"/>
        <v>6</v>
      </c>
      <c r="AE35" s="12">
        <f t="shared" si="22"/>
        <v>0</v>
      </c>
      <c r="AF35" s="12">
        <f t="shared" si="22"/>
        <v>0</v>
      </c>
      <c r="AG35" s="12">
        <f t="shared" si="22"/>
        <v>6</v>
      </c>
      <c r="AH35" s="12">
        <f t="shared" si="22"/>
        <v>0</v>
      </c>
      <c r="AI35" s="149"/>
      <c r="AJ35" s="148">
        <f>SUM(D35:AH35)</f>
        <v>120</v>
      </c>
      <c r="AK35" s="176" t="s">
        <v>43</v>
      </c>
      <c r="AL35" s="177"/>
      <c r="AM35" s="177"/>
      <c r="AN35" s="178"/>
      <c r="AS35" s="9"/>
    </row>
    <row r="36" spans="2:45" ht="12" customHeight="1" thickBot="1" x14ac:dyDescent="0.25">
      <c r="B36" s="111" t="s">
        <v>64</v>
      </c>
      <c r="C36" s="112"/>
      <c r="E36" s="113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7"/>
      <c r="AJ36" s="7"/>
      <c r="AK36" s="114"/>
      <c r="AS36" s="9"/>
    </row>
    <row r="37" spans="2:45" ht="51" customHeight="1" thickTop="1" thickBot="1" x14ac:dyDescent="0.25">
      <c r="B37" s="179">
        <v>4</v>
      </c>
      <c r="C37" s="180"/>
      <c r="D37" s="140">
        <f>IF(D$4="F",B37,IF(D$4="U",B37,IF(D$4="",B37,IF(D$6="Wochend",B37,B37+D32-D35))))</f>
        <v>4</v>
      </c>
      <c r="E37" s="140">
        <f t="shared" ref="E37" si="23">IF(E$4="F",D37,IF(E$4="U",D37,IF(E$4="",D37,IF(E$6="Wochend",D37,D37+E32-E35))))</f>
        <v>4</v>
      </c>
      <c r="F37" s="140">
        <f t="shared" ref="F37" si="24">IF(F$4="F",E37,IF(F$4="U",E37,IF(F$4="",E37,IF(F$6="Wochend",E37,E37+F32-F35))))</f>
        <v>4</v>
      </c>
      <c r="G37" s="140">
        <f t="shared" ref="G37" si="25">IF(G$4="F",F37,IF(G$4="U",F37,IF(G$4="",F37,IF(G$6="Wochend",F37,F37+G32-G35))))</f>
        <v>4</v>
      </c>
      <c r="H37" s="140">
        <f t="shared" ref="H37" si="26">IF(H$4="F",G37,IF(H$4="U",G37,IF(H$4="",G37,IF(H$6="Wochend",G37,G37+H32-H35))))</f>
        <v>4</v>
      </c>
      <c r="I37" s="140">
        <f t="shared" ref="I37" si="27">IF(I$4="F",H37,IF(I$4="U",H37,IF(I$4="",H37,IF(I$6="Wochend",H37,H37+I32-I35))))</f>
        <v>4</v>
      </c>
      <c r="J37" s="140">
        <f t="shared" ref="J37" si="28">IF(J$4="F",I37,IF(J$4="U",I37,IF(J$4="",I37,IF(J$6="Wochend",I37,I37+J32-J35))))</f>
        <v>4</v>
      </c>
      <c r="K37" s="140">
        <f t="shared" ref="K37" si="29">IF(K$4="F",J37,IF(K$4="U",J37,IF(K$4="",J37,IF(K$6="Wochend",J37,J37+K32-K35))))</f>
        <v>4</v>
      </c>
      <c r="L37" s="140">
        <f t="shared" ref="L37" si="30">IF(L$4="F",K37,IF(L$4="U",K37,IF(L$4="",K37,IF(L$6="Wochend",K37,K37+L32-L35))))</f>
        <v>4.5</v>
      </c>
      <c r="M37" s="140">
        <f t="shared" ref="M37" si="31">IF(M$4="F",L37,IF(M$4="U",L37,IF(M$4="",L37,IF(M$6="Wochend",L37,L37+M32-M35))))</f>
        <v>5.5000000000000018</v>
      </c>
      <c r="N37" s="140">
        <f t="shared" ref="N37" si="32">IF(N$4="F",M37,IF(N$4="U",M37,IF(N$4="",M37,IF(N$6="Wochend",M37,M37+N32-N35))))</f>
        <v>6.0000000000000036</v>
      </c>
      <c r="O37" s="140">
        <f t="shared" ref="O37" si="33">IF(O$4="F",N37,IF(O$4="U",N37,IF(O$4="",N37,IF(O$6="Wochend",N37,N37+O32-O35))))</f>
        <v>6.2500000000000053</v>
      </c>
      <c r="P37" s="140">
        <f t="shared" ref="P37" si="34">IF(P$4="F",O37,IF(P$4="U",O37,IF(P$4="",O37,IF(P$6="Wochend",O37,O37+P32-P35))))</f>
        <v>6.5000000000000071</v>
      </c>
      <c r="Q37" s="140">
        <f t="shared" ref="Q37" si="35">IF(Q$4="F",P37,IF(Q$4="U",P37,IF(Q$4="",P37,IF(Q$6="Wochend",P37,P37+Q32-Q35))))</f>
        <v>6.5000000000000071</v>
      </c>
      <c r="R37" s="140">
        <f t="shared" ref="R37" si="36">IF(R$4="F",Q37,IF(R$4="U",Q37,IF(R$4="",Q37,IF(R$6="Wochend",Q37,Q37+R32-R35))))</f>
        <v>6.5000000000000071</v>
      </c>
      <c r="S37" s="140">
        <f t="shared" ref="S37" si="37">IF(S$4="F",R37,IF(S$4="U",R37,IF(S$4="",R37,IF(S$6="Wochend",R37,R37+S32-S35))))</f>
        <v>6.5000000000000071</v>
      </c>
      <c r="T37" s="140">
        <f t="shared" ref="T37" si="38">IF(T$4="F",S37,IF(T$4="U",S37,IF(T$4="",S37,IF(T$6="Wochend",S37,S37+T32-T35))))</f>
        <v>6.5000000000000071</v>
      </c>
      <c r="U37" s="140">
        <f t="shared" ref="U37" si="39">IF(U$4="F",T37,IF(U$4="U",T37,IF(U$4="",T37,IF(U$6="Wochend",T37,T37+U32-U35))))</f>
        <v>6.5000000000000071</v>
      </c>
      <c r="V37" s="140">
        <f t="shared" ref="V37" si="40">IF(V$4="F",U37,IF(V$4="U",U37,IF(V$4="",U37,IF(V$6="Wochend",U37,U37+V32-V35))))</f>
        <v>6.5000000000000071</v>
      </c>
      <c r="W37" s="140">
        <f t="shared" ref="W37" si="41">IF(W$4="F",V37,IF(W$4="U",V37,IF(W$4="",V37,IF(W$6="Wochend",V37,V37+W32-W35))))</f>
        <v>6.5000000000000071</v>
      </c>
      <c r="X37" s="140">
        <f t="shared" ref="X37" si="42">IF(X$4="F",W37,IF(X$4="U",W37,IF(X$4="",W37,IF(X$6="Wochend",W37,W37+X32-X35))))</f>
        <v>6.5000000000000071</v>
      </c>
      <c r="Y37" s="140">
        <f t="shared" ref="Y37" si="43">IF(Y$4="F",X37,IF(Y$4="U",X37,IF(Y$4="",X37,IF(Y$6="Wochend",X37,X37+Y32-Y35))))</f>
        <v>6.5000000000000071</v>
      </c>
      <c r="Z37" s="140">
        <f t="shared" ref="Z37" si="44">IF(Z$4="F",Y37,IF(Z$4="U",Y37,IF(Z$4="",Y37,IF(Z$6="Wochend",Y37,Y37+Z32-Z35))))</f>
        <v>6.5000000000000071</v>
      </c>
      <c r="AA37" s="140">
        <f t="shared" ref="AA37" si="45">IF(AA$4="F",Z37,IF(AA$4="U",Z37,IF(AA$4="",Z37,IF(AA$6="Wochend",Z37,Z37+AA32-AA35))))</f>
        <v>6.5000000000000071</v>
      </c>
      <c r="AB37" s="140">
        <f t="shared" ref="AB37" si="46">IF(AB$4="F",AA37,IF(AB$4="U",AA37,IF(AB$4="",AA37,IF(AB$6="Wochend",AA37,AA37+AB32-AB35))))</f>
        <v>6.5000000000000071</v>
      </c>
      <c r="AC37" s="140">
        <f t="shared" ref="AC37" si="47">IF(AC$4="F",AB37,IF(AC$4="U",AB37,IF(AC$4="",AB37,IF(AC$6="Wochend",AB37,AB37+AC32-AC35))))</f>
        <v>6.5000000000000071</v>
      </c>
      <c r="AD37" s="140">
        <f t="shared" ref="AD37" si="48">IF(AD$4="F",AC37,IF(AD$4="U",AC37,IF(AD$4="",AC37,IF(AD$6="Wochend",AC37,AC37+AD32-AD35))))</f>
        <v>6.5000000000000071</v>
      </c>
      <c r="AE37" s="140">
        <f t="shared" ref="AE37" si="49">IF(AE$4="F",AD37,IF(AE$4="U",AD37,IF(AE$4="",AD37,IF(AE$6="Wochend",AD37,AD37+AE32-AE35))))</f>
        <v>6.5000000000000071</v>
      </c>
      <c r="AF37" s="140">
        <f t="shared" ref="AF37" si="50">IF(AF$4="F",AE37,IF(AF$4="U",AE37,IF(AF$4="",AE37,IF(AF$6="Wochend",AE37,AE37+AF32-AF35))))</f>
        <v>6.5000000000000071</v>
      </c>
      <c r="AG37" s="140">
        <f t="shared" ref="AG37" si="51">IF(AG$4="F",AF37,IF(AG$4="U",AF37,IF(AG$4="",AF37,IF(AG$6="Wochend",AF37,AF37+AG32-AG35))))</f>
        <v>0.50000000000000711</v>
      </c>
      <c r="AH37" s="140">
        <f t="shared" ref="AH37" si="52">IF(AH$4="F",AG37,IF(AH$4="U",AG37,IF(AH$4="",AG37,IF(AH$6="Wochend",AG37,AG37+AH32-AH35))))</f>
        <v>0.50000000000000711</v>
      </c>
      <c r="AI37" s="117"/>
      <c r="AJ37" s="21">
        <f>B37+AJ34</f>
        <v>0.5</v>
      </c>
      <c r="AK37" s="171" t="s">
        <v>47</v>
      </c>
      <c r="AL37" s="171"/>
      <c r="AM37" s="171"/>
      <c r="AN37" s="172"/>
      <c r="AS37" s="9"/>
    </row>
    <row r="41" spans="2:45" x14ac:dyDescent="0.2">
      <c r="B41" s="9" t="s">
        <v>39</v>
      </c>
      <c r="C41" s="9">
        <v>28</v>
      </c>
    </row>
    <row r="42" spans="2:45" x14ac:dyDescent="0.2">
      <c r="C42" s="9">
        <v>24</v>
      </c>
    </row>
  </sheetData>
  <dataConsolidate/>
  <mergeCells count="27">
    <mergeCell ref="B29:C29"/>
    <mergeCell ref="B9:C9"/>
    <mergeCell ref="C12:C13"/>
    <mergeCell ref="B12:B13"/>
    <mergeCell ref="A12:A13"/>
    <mergeCell ref="B28:C28"/>
    <mergeCell ref="B3:C3"/>
    <mergeCell ref="B4:C4"/>
    <mergeCell ref="B5:C5"/>
    <mergeCell ref="B6:C6"/>
    <mergeCell ref="B7:C7"/>
    <mergeCell ref="B8:C8"/>
    <mergeCell ref="B35:C35"/>
    <mergeCell ref="AG11:AH11"/>
    <mergeCell ref="AK37:AN37"/>
    <mergeCell ref="AK32:AN32"/>
    <mergeCell ref="AK28:AN28"/>
    <mergeCell ref="AK34:AN34"/>
    <mergeCell ref="AK35:AN35"/>
    <mergeCell ref="B37:C37"/>
    <mergeCell ref="T11:Y11"/>
    <mergeCell ref="B32:C32"/>
    <mergeCell ref="B30:C30"/>
    <mergeCell ref="B33:C33"/>
    <mergeCell ref="B34:C34"/>
    <mergeCell ref="B31:C31"/>
    <mergeCell ref="B27:C27"/>
  </mergeCells>
  <phoneticPr fontId="0" type="noConversion"/>
  <conditionalFormatting sqref="D9:E9 E5">
    <cfRule type="expression" dxfId="197" priority="5677" stopIfTrue="1">
      <formula>IF(D$6="Wochend",1,0)=1</formula>
    </cfRule>
  </conditionalFormatting>
  <conditionalFormatting sqref="D1:AH2 U35 D27:AH34 D35:H35 N35 AB35">
    <cfRule type="expression" dxfId="196" priority="5678" stopIfTrue="1">
      <formula>IF(D$6="Wochend",1,0)=1</formula>
    </cfRule>
  </conditionalFormatting>
  <conditionalFormatting sqref="G8 U9:V9 AB9:AC9 F9:O9 F5:AH5">
    <cfRule type="expression" dxfId="195" priority="4663" stopIfTrue="1">
      <formula>IF(F$6="Wochend",1,0)=1</formula>
    </cfRule>
  </conditionalFormatting>
  <conditionalFormatting sqref="G7:J7 U7:V7 AB7:AC7 N7:O7">
    <cfRule type="expression" dxfId="194" priority="4662" stopIfTrue="1">
      <formula>IF(G$6="Wochend",1,0)=1</formula>
    </cfRule>
  </conditionalFormatting>
  <conditionalFormatting sqref="F8">
    <cfRule type="expression" dxfId="193" priority="4411" stopIfTrue="1">
      <formula>IF(F$6="Wochend",1,0)=1</formula>
    </cfRule>
  </conditionalFormatting>
  <conditionalFormatting sqref="P9:T9">
    <cfRule type="expression" dxfId="192" priority="4429" stopIfTrue="1">
      <formula>IF(P$6="Wochend",1,0)=1</formula>
    </cfRule>
  </conditionalFormatting>
  <conditionalFormatting sqref="W9:AA9">
    <cfRule type="expression" dxfId="191" priority="4424" stopIfTrue="1">
      <formula>IF(W$6="Wochend",1,0)=1</formula>
    </cfRule>
  </conditionalFormatting>
  <conditionalFormatting sqref="AD9:AH9">
    <cfRule type="expression" dxfId="190" priority="4419" stopIfTrue="1">
      <formula>IF(AD$6="Wochend",1,0)=1</formula>
    </cfRule>
  </conditionalFormatting>
  <conditionalFormatting sqref="K7:M7">
    <cfRule type="expression" dxfId="189" priority="4409" stopIfTrue="1">
      <formula>IF(K$6="Wochend",1,0)=1</formula>
    </cfRule>
  </conditionalFormatting>
  <conditionalFormatting sqref="P7:Q7 T7">
    <cfRule type="expression" dxfId="188" priority="4407" stopIfTrue="1">
      <formula>IF(P$6="Wochend",1,0)=1</formula>
    </cfRule>
  </conditionalFormatting>
  <conditionalFormatting sqref="R7:S7">
    <cfRule type="expression" dxfId="187" priority="4403" stopIfTrue="1">
      <formula>IF(R$6="Wochend",1,0)=1</formula>
    </cfRule>
  </conditionalFormatting>
  <conditionalFormatting sqref="W7:X7 AA7">
    <cfRule type="expression" dxfId="186" priority="4401" stopIfTrue="1">
      <formula>IF(W$6="Wochend",1,0)=1</formula>
    </cfRule>
  </conditionalFormatting>
  <conditionalFormatting sqref="Y7:Z7">
    <cfRule type="expression" dxfId="185" priority="4397" stopIfTrue="1">
      <formula>IF(Y$6="Wochend",1,0)=1</formula>
    </cfRule>
  </conditionalFormatting>
  <conditionalFormatting sqref="AD7:AE7 AH7">
    <cfRule type="expression" dxfId="184" priority="4395" stopIfTrue="1">
      <formula>IF(AD$6="Wochend",1,0)=1</formula>
    </cfRule>
  </conditionalFormatting>
  <conditionalFormatting sqref="AF7:AG7">
    <cfRule type="expression" dxfId="183" priority="4391" stopIfTrue="1">
      <formula>IF(AF$6="Wochend",1,0)=1</formula>
    </cfRule>
  </conditionalFormatting>
  <conditionalFormatting sqref="L35:M35">
    <cfRule type="expression" dxfId="182" priority="4375" stopIfTrue="1">
      <formula>IF(E$6="Wochend",1,0)=1</formula>
    </cfRule>
  </conditionalFormatting>
  <conditionalFormatting sqref="J35:K35">
    <cfRule type="expression" dxfId="181" priority="4374" stopIfTrue="1">
      <formula>IF(J$6="Wochend",1,0)=1</formula>
    </cfRule>
  </conditionalFormatting>
  <conditionalFormatting sqref="S35:T35">
    <cfRule type="expression" dxfId="180" priority="4373" stopIfTrue="1">
      <formula>IF(L$6="Wochend",1,0)=1</formula>
    </cfRule>
  </conditionalFormatting>
  <conditionalFormatting sqref="Q35:R35">
    <cfRule type="expression" dxfId="179" priority="4372" stopIfTrue="1">
      <formula>IF(Q$6="Wochend",1,0)=1</formula>
    </cfRule>
  </conditionalFormatting>
  <conditionalFormatting sqref="Z35:AA35">
    <cfRule type="expression" dxfId="178" priority="4371" stopIfTrue="1">
      <formula>IF(S$6="Wochend",1,0)=1</formula>
    </cfRule>
  </conditionalFormatting>
  <conditionalFormatting sqref="X35:Y35">
    <cfRule type="expression" dxfId="177" priority="4370" stopIfTrue="1">
      <formula>IF(X$6="Wochend",1,0)=1</formula>
    </cfRule>
  </conditionalFormatting>
  <conditionalFormatting sqref="AE35">
    <cfRule type="expression" dxfId="176" priority="4368" stopIfTrue="1">
      <formula>IF(AE$6="Wochend",1,0)=1</formula>
    </cfRule>
  </conditionalFormatting>
  <conditionalFormatting sqref="D7:E7">
    <cfRule type="expression" dxfId="175" priority="4346" stopIfTrue="1">
      <formula>IF(D$6="Wochend",1,0)=1</formula>
    </cfRule>
  </conditionalFormatting>
  <conditionalFormatting sqref="F7">
    <cfRule type="expression" dxfId="174" priority="4345" stopIfTrue="1">
      <formula>IF(F$6="Wochend",1,0)=1</formula>
    </cfRule>
  </conditionalFormatting>
  <conditionalFormatting sqref="AH6">
    <cfRule type="expression" dxfId="173" priority="4344" stopIfTrue="1">
      <formula>IF(AH$6="Wochend",1,0)=1</formula>
    </cfRule>
  </conditionalFormatting>
  <conditionalFormatting sqref="B16:AH26">
    <cfRule type="containsText" dxfId="172" priority="4331" stopIfTrue="1" operator="containsText" text="MC33">
      <formula>NOT(ISERROR(SEARCH("MC33",B16)))</formula>
    </cfRule>
    <cfRule type="containsText" dxfId="171" priority="4332" stopIfTrue="1" operator="containsText" text="MC33">
      <formula>NOT(ISERROR(SEARCH("MC33",B16)))</formula>
    </cfRule>
    <cfRule type="containsText" dxfId="170" priority="4333" stopIfTrue="1" operator="containsText" text="MC00">
      <formula>NOT(ISERROR(SEARCH("MC00",B16)))</formula>
    </cfRule>
    <cfRule type="containsText" dxfId="169" priority="4334" stopIfTrue="1" operator="containsText" text="EL23">
      <formula>NOT(ISERROR(SEARCH("EL23",B16)))</formula>
    </cfRule>
    <cfRule type="containsText" dxfId="168" priority="4335" stopIfTrue="1" operator="containsText" text="EL10">
      <formula>NOT(ISERROR(SEARCH("EL10",B16)))</formula>
    </cfRule>
    <cfRule type="containsText" dxfId="167" priority="4336" stopIfTrue="1" operator="containsText" text="WAT">
      <formula>NOT(ISERROR(SEARCH("WAT",B16)))</formula>
    </cfRule>
    <cfRule type="containsText" dxfId="166" priority="4337" stopIfTrue="1" operator="containsText" text="EL99">
      <formula>NOT(ISERROR(SEARCH("EL99",B16)))</formula>
    </cfRule>
    <cfRule type="containsText" dxfId="165" priority="4338" stopIfTrue="1" operator="containsText" text="EL26">
      <formula>NOT(ISERROR(SEARCH("EL26",B16)))</formula>
    </cfRule>
    <cfRule type="containsText" dxfId="164" priority="4339" stopIfTrue="1" operator="containsText" text="EL25">
      <formula>NOT(ISERROR(SEARCH("EL25",B16)))</formula>
    </cfRule>
    <cfRule type="containsText" dxfId="163" priority="4340" stopIfTrue="1" operator="containsText" text="EL24">
      <formula>NOT(ISERROR(SEARCH("EL24",B16)))</formula>
    </cfRule>
    <cfRule type="containsText" dxfId="162" priority="4341" stopIfTrue="1" operator="containsText" text="EL00-034">
      <formula>NOT(ISERROR(SEARCH("EL00-034",B16)))</formula>
    </cfRule>
    <cfRule type="containsText" dxfId="161" priority="4342" stopIfTrue="1" operator="containsText" text="EL03">
      <formula>NOT(ISERROR(SEARCH("EL03",B16)))</formula>
    </cfRule>
    <cfRule type="containsText" dxfId="160" priority="4343" stopIfTrue="1" operator="containsText" text="EL00">
      <formula>NOT(ISERROR(SEARCH("EL00",B16)))</formula>
    </cfRule>
  </conditionalFormatting>
  <conditionalFormatting sqref="D5">
    <cfRule type="expression" dxfId="159" priority="4265" stopIfTrue="1">
      <formula>IF(D$6="Wochend",1,0)=1</formula>
    </cfRule>
  </conditionalFormatting>
  <conditionalFormatting sqref="D6">
    <cfRule type="expression" dxfId="158" priority="4264" stopIfTrue="1">
      <formula>IF(D$6="Wochend",1,0)=1</formula>
    </cfRule>
  </conditionalFormatting>
  <conditionalFormatting sqref="V3:AH4">
    <cfRule type="expression" dxfId="157" priority="4263" stopIfTrue="1">
      <formula>IF(V$6="Wochend",1,0)=1</formula>
    </cfRule>
  </conditionalFormatting>
  <conditionalFormatting sqref="B16:B26">
    <cfRule type="containsText" dxfId="156" priority="4249" operator="containsText" text="MC40">
      <formula>NOT(ISERROR(SEARCH("MC40",B16)))</formula>
    </cfRule>
  </conditionalFormatting>
  <conditionalFormatting sqref="B16:B26">
    <cfRule type="expression" dxfId="155" priority="4186" stopIfTrue="1">
      <formula>ISNA(MATCH(B16,ap,0))</formula>
    </cfRule>
    <cfRule type="containsText" dxfId="154" priority="4235" operator="containsText" text="MC40">
      <formula>NOT(ISERROR(SEARCH("MC40",B16)))</formula>
    </cfRule>
    <cfRule type="containsText" dxfId="153" priority="4236" stopIfTrue="1" operator="containsText" text="MC33">
      <formula>NOT(ISERROR(SEARCH("MC33",B16)))</formula>
    </cfRule>
    <cfRule type="containsText" dxfId="152" priority="4237" stopIfTrue="1" operator="containsText" text="MC33">
      <formula>NOT(ISERROR(SEARCH("MC33",B16)))</formula>
    </cfRule>
    <cfRule type="containsText" dxfId="151" priority="4238" stopIfTrue="1" operator="containsText" text="MC00">
      <formula>NOT(ISERROR(SEARCH("MC00",B16)))</formula>
    </cfRule>
    <cfRule type="containsText" dxfId="150" priority="4239" stopIfTrue="1" operator="containsText" text="EL23">
      <formula>NOT(ISERROR(SEARCH("EL23",B16)))</formula>
    </cfRule>
    <cfRule type="containsText" dxfId="149" priority="4240" stopIfTrue="1" operator="containsText" text="EL10">
      <formula>NOT(ISERROR(SEARCH("EL10",B16)))</formula>
    </cfRule>
    <cfRule type="containsText" dxfId="148" priority="4241" stopIfTrue="1" operator="containsText" text="WAT">
      <formula>NOT(ISERROR(SEARCH("WAT",B16)))</formula>
    </cfRule>
    <cfRule type="containsText" dxfId="147" priority="4242" stopIfTrue="1" operator="containsText" text="EL99">
      <formula>NOT(ISERROR(SEARCH("EL99",B16)))</formula>
    </cfRule>
    <cfRule type="containsText" dxfId="146" priority="4243" stopIfTrue="1" operator="containsText" text="EL26">
      <formula>NOT(ISERROR(SEARCH("EL26",B16)))</formula>
    </cfRule>
    <cfRule type="containsText" dxfId="145" priority="4244" stopIfTrue="1" operator="containsText" text="EL25">
      <formula>NOT(ISERROR(SEARCH("EL25",B16)))</formula>
    </cfRule>
    <cfRule type="containsText" dxfId="144" priority="4245" stopIfTrue="1" operator="containsText" text="EL24">
      <formula>NOT(ISERROR(SEARCH("EL24",B16)))</formula>
    </cfRule>
    <cfRule type="containsText" dxfId="143" priority="4246" stopIfTrue="1" operator="containsText" text="EL00-034">
      <formula>NOT(ISERROR(SEARCH("EL00-034",B16)))</formula>
    </cfRule>
    <cfRule type="containsText" dxfId="142" priority="4247" stopIfTrue="1" operator="containsText" text="EL03">
      <formula>NOT(ISERROR(SEARCH("EL03",B16)))</formula>
    </cfRule>
    <cfRule type="containsText" dxfId="141" priority="4248" stopIfTrue="1" operator="containsText" text="EL00">
      <formula>NOT(ISERROR(SEARCH("EL00",B16)))</formula>
    </cfRule>
  </conditionalFormatting>
  <conditionalFormatting sqref="A21:A26">
    <cfRule type="containsText" dxfId="140" priority="4178" stopIfTrue="1" operator="containsText" text="MC0033">
      <formula>NOT(ISERROR(SEARCH("MC0033",A21)))</formula>
    </cfRule>
    <cfRule type="containsText" dxfId="139" priority="4179" stopIfTrue="1" operator="containsText" text="WAT00000">
      <formula>NOT(ISERROR(SEARCH("WAT00000",A21)))</formula>
    </cfRule>
    <cfRule type="containsText" dxfId="138" priority="4180" stopIfTrue="1" operator="containsText" text="MC00">
      <formula>NOT(ISERROR(SEARCH("MC00",A21)))</formula>
    </cfRule>
    <cfRule type="containsText" dxfId="137" priority="4181" stopIfTrue="1" operator="containsText" text="EL23">
      <formula>NOT(ISERROR(SEARCH("EL23",A21)))</formula>
    </cfRule>
    <cfRule type="containsText" dxfId="136" priority="4182" stopIfTrue="1" operator="containsText" text="EL10">
      <formula>NOT(ISERROR(SEARCH("EL10",A21)))</formula>
    </cfRule>
    <cfRule type="containsText" dxfId="135" priority="4183" stopIfTrue="1" operator="containsText" text="WAT">
      <formula>NOT(ISERROR(SEARCH("WAT",A21)))</formula>
    </cfRule>
    <cfRule type="containsText" dxfId="134" priority="4184" stopIfTrue="1" operator="containsText" text="EL99">
      <formula>NOT(ISERROR(SEARCH("EL99",A21)))</formula>
    </cfRule>
    <cfRule type="containsText" dxfId="133" priority="4185" stopIfTrue="1" operator="containsText" text="EL26">
      <formula>NOT(ISERROR(SEARCH("EL26",A21)))</formula>
    </cfRule>
    <cfRule type="containsText" dxfId="132" priority="4187" stopIfTrue="1" operator="containsText" text="EL24">
      <formula>NOT(ISERROR(SEARCH("EL24",A21)))</formula>
    </cfRule>
    <cfRule type="containsText" dxfId="131" priority="4188" stopIfTrue="1" operator="containsText" text="EL00-034">
      <formula>NOT(ISERROR(SEARCH("EL00-034",A21)))</formula>
    </cfRule>
    <cfRule type="containsText" dxfId="130" priority="4189" stopIfTrue="1" operator="containsText" text="EL03">
      <formula>NOT(ISERROR(SEARCH("EL03",A21)))</formula>
    </cfRule>
    <cfRule type="containsText" dxfId="129" priority="4190" stopIfTrue="1" operator="containsText" text="EL00">
      <formula>NOT(ISERROR(SEARCH("EL00",A21)))</formula>
    </cfRule>
    <cfRule type="containsText" dxfId="128" priority="5679" stopIfTrue="1" operator="containsText" text="EL25">
      <formula>NOT(ISERROR(SEARCH("EL25",A21)))</formula>
    </cfRule>
  </conditionalFormatting>
  <conditionalFormatting sqref="A16:A26">
    <cfRule type="containsText" dxfId="127" priority="4177" operator="containsText" text="MC0040">
      <formula>NOT(ISERROR(SEARCH("MC0040",A16)))</formula>
    </cfRule>
  </conditionalFormatting>
  <conditionalFormatting sqref="D16:AH26">
    <cfRule type="expression" dxfId="126" priority="4217" stopIfTrue="1">
      <formula>IF(D$6="Wochend",1,0)=1</formula>
    </cfRule>
    <cfRule type="expression" dxfId="125" priority="4218" stopIfTrue="1">
      <formula>IF(D$4="F",1,0)=1</formula>
    </cfRule>
    <cfRule type="expression" dxfId="124" priority="4219" stopIfTrue="1">
      <formula>IF(OR(D$4="G",D$4="U"),1,0)=1</formula>
    </cfRule>
  </conditionalFormatting>
  <conditionalFormatting sqref="D16:AH26">
    <cfRule type="expression" dxfId="123" priority="4220" stopIfTrue="1">
      <formula>IF(D$4="K",1,0)=1</formula>
    </cfRule>
  </conditionalFormatting>
  <conditionalFormatting sqref="A16:A20">
    <cfRule type="containsText" dxfId="122" priority="3754" stopIfTrue="1" operator="containsText" text="MC0033">
      <formula>NOT(ISERROR(SEARCH("MC0033",A16)))</formula>
    </cfRule>
    <cfRule type="containsText" dxfId="121" priority="3755" stopIfTrue="1" operator="containsText" text="WAT00000">
      <formula>NOT(ISERROR(SEARCH("WAT00000",A16)))</formula>
    </cfRule>
    <cfRule type="containsText" dxfId="120" priority="3756" stopIfTrue="1" operator="containsText" text="MC00">
      <formula>NOT(ISERROR(SEARCH("MC00",A16)))</formula>
    </cfRule>
    <cfRule type="containsText" dxfId="119" priority="3757" stopIfTrue="1" operator="containsText" text="EL23">
      <formula>NOT(ISERROR(SEARCH("EL23",A16)))</formula>
    </cfRule>
    <cfRule type="containsText" dxfId="118" priority="3758" stopIfTrue="1" operator="containsText" text="EL10">
      <formula>NOT(ISERROR(SEARCH("EL10",A16)))</formula>
    </cfRule>
    <cfRule type="containsText" dxfId="117" priority="3759" stopIfTrue="1" operator="containsText" text="WAT">
      <formula>NOT(ISERROR(SEARCH("WAT",A16)))</formula>
    </cfRule>
    <cfRule type="containsText" dxfId="116" priority="3760" stopIfTrue="1" operator="containsText" text="EL99">
      <formula>NOT(ISERROR(SEARCH("EL99",A16)))</formula>
    </cfRule>
    <cfRule type="containsText" dxfId="115" priority="3761" stopIfTrue="1" operator="containsText" text="EL26">
      <formula>NOT(ISERROR(SEARCH("EL26",A16)))</formula>
    </cfRule>
    <cfRule type="containsText" dxfId="114" priority="3762" stopIfTrue="1" operator="containsText" text="EL25">
      <formula>NOT(ISERROR(SEARCH("EL25",A16)))</formula>
    </cfRule>
    <cfRule type="containsText" dxfId="113" priority="3763" stopIfTrue="1" operator="containsText" text="EL24">
      <formula>NOT(ISERROR(SEARCH("EL24",A16)))</formula>
    </cfRule>
    <cfRule type="containsText" dxfId="112" priority="3764" stopIfTrue="1" operator="containsText" text="EL00-034">
      <formula>NOT(ISERROR(SEARCH("EL00-034",A16)))</formula>
    </cfRule>
    <cfRule type="containsText" dxfId="111" priority="3765" stopIfTrue="1" operator="containsText" text="EL03">
      <formula>NOT(ISERROR(SEARCH("EL03",A16)))</formula>
    </cfRule>
    <cfRule type="containsText" dxfId="110" priority="3766" stopIfTrue="1" operator="containsText" text="EL00">
      <formula>NOT(ISERROR(SEARCH("EL00",A16)))</formula>
    </cfRule>
  </conditionalFormatting>
  <conditionalFormatting sqref="A16:A26">
    <cfRule type="expression" dxfId="109" priority="3717">
      <formula>ISNA(MATCH(A16,#REF!,0))</formula>
    </cfRule>
  </conditionalFormatting>
  <conditionalFormatting sqref="B14:C15">
    <cfRule type="containsText" dxfId="108" priority="3600" stopIfTrue="1" operator="containsText" text="MC33">
      <formula>NOT(ISERROR(SEARCH("MC33",B14)))</formula>
    </cfRule>
    <cfRule type="containsText" dxfId="107" priority="3601" stopIfTrue="1" operator="containsText" text="MC33">
      <formula>NOT(ISERROR(SEARCH("MC33",B14)))</formula>
    </cfRule>
    <cfRule type="containsText" dxfId="106" priority="3602" stopIfTrue="1" operator="containsText" text="MC00">
      <formula>NOT(ISERROR(SEARCH("MC00",B14)))</formula>
    </cfRule>
    <cfRule type="containsText" dxfId="105" priority="3603" stopIfTrue="1" operator="containsText" text="EL23">
      <formula>NOT(ISERROR(SEARCH("EL23",B14)))</formula>
    </cfRule>
    <cfRule type="containsText" dxfId="104" priority="3604" stopIfTrue="1" operator="containsText" text="EL10">
      <formula>NOT(ISERROR(SEARCH("EL10",B14)))</formula>
    </cfRule>
    <cfRule type="containsText" dxfId="103" priority="3605" stopIfTrue="1" operator="containsText" text="WAT">
      <formula>NOT(ISERROR(SEARCH("WAT",B14)))</formula>
    </cfRule>
    <cfRule type="containsText" dxfId="102" priority="3606" stopIfTrue="1" operator="containsText" text="EL99">
      <formula>NOT(ISERROR(SEARCH("EL99",B14)))</formula>
    </cfRule>
    <cfRule type="containsText" dxfId="101" priority="3607" stopIfTrue="1" operator="containsText" text="EL26">
      <formula>NOT(ISERROR(SEARCH("EL26",B14)))</formula>
    </cfRule>
    <cfRule type="containsText" dxfId="100" priority="3608" stopIfTrue="1" operator="containsText" text="EL25">
      <formula>NOT(ISERROR(SEARCH("EL25",B14)))</formula>
    </cfRule>
    <cfRule type="containsText" dxfId="99" priority="3609" stopIfTrue="1" operator="containsText" text="EL24">
      <formula>NOT(ISERROR(SEARCH("EL24",B14)))</formula>
    </cfRule>
    <cfRule type="containsText" dxfId="98" priority="3610" stopIfTrue="1" operator="containsText" text="EL00-034">
      <formula>NOT(ISERROR(SEARCH("EL00-034",B14)))</formula>
    </cfRule>
    <cfRule type="containsText" dxfId="97" priority="3611" stopIfTrue="1" operator="containsText" text="EL03">
      <formula>NOT(ISERROR(SEARCH("EL03",B14)))</formula>
    </cfRule>
    <cfRule type="containsText" dxfId="96" priority="3612" stopIfTrue="1" operator="containsText" text="EL00">
      <formula>NOT(ISERROR(SEARCH("EL00",B14)))</formula>
    </cfRule>
  </conditionalFormatting>
  <conditionalFormatting sqref="B14:B15">
    <cfRule type="containsText" dxfId="95" priority="3599" operator="containsText" text="MC40">
      <formula>NOT(ISERROR(SEARCH("MC40",B14)))</formula>
    </cfRule>
  </conditionalFormatting>
  <conditionalFormatting sqref="B14:B15">
    <cfRule type="expression" dxfId="94" priority="3536" stopIfTrue="1">
      <formula>ISNA(MATCH(B14,ap,0))</formula>
    </cfRule>
    <cfRule type="containsText" dxfId="93" priority="3585" operator="containsText" text="MC40">
      <formula>NOT(ISERROR(SEARCH("MC40",B14)))</formula>
    </cfRule>
    <cfRule type="containsText" dxfId="92" priority="3586" stopIfTrue="1" operator="containsText" text="MC33">
      <formula>NOT(ISERROR(SEARCH("MC33",B14)))</formula>
    </cfRule>
    <cfRule type="containsText" dxfId="91" priority="3587" stopIfTrue="1" operator="containsText" text="MC33">
      <formula>NOT(ISERROR(SEARCH("MC33",B14)))</formula>
    </cfRule>
    <cfRule type="containsText" dxfId="90" priority="3588" stopIfTrue="1" operator="containsText" text="MC00">
      <formula>NOT(ISERROR(SEARCH("MC00",B14)))</formula>
    </cfRule>
    <cfRule type="containsText" dxfId="89" priority="3589" stopIfTrue="1" operator="containsText" text="EL23">
      <formula>NOT(ISERROR(SEARCH("EL23",B14)))</formula>
    </cfRule>
    <cfRule type="containsText" dxfId="88" priority="3590" stopIfTrue="1" operator="containsText" text="EL10">
      <formula>NOT(ISERROR(SEARCH("EL10",B14)))</formula>
    </cfRule>
    <cfRule type="containsText" dxfId="87" priority="3591" stopIfTrue="1" operator="containsText" text="WAT">
      <formula>NOT(ISERROR(SEARCH("WAT",B14)))</formula>
    </cfRule>
    <cfRule type="containsText" dxfId="86" priority="3592" stopIfTrue="1" operator="containsText" text="EL99">
      <formula>NOT(ISERROR(SEARCH("EL99",B14)))</formula>
    </cfRule>
    <cfRule type="containsText" dxfId="85" priority="3593" stopIfTrue="1" operator="containsText" text="EL26">
      <formula>NOT(ISERROR(SEARCH("EL26",B14)))</formula>
    </cfRule>
    <cfRule type="containsText" dxfId="84" priority="3594" stopIfTrue="1" operator="containsText" text="EL25">
      <formula>NOT(ISERROR(SEARCH("EL25",B14)))</formula>
    </cfRule>
    <cfRule type="containsText" dxfId="83" priority="3595" stopIfTrue="1" operator="containsText" text="EL24">
      <formula>NOT(ISERROR(SEARCH("EL24",B14)))</formula>
    </cfRule>
    <cfRule type="containsText" dxfId="82" priority="3596" stopIfTrue="1" operator="containsText" text="EL00-034">
      <formula>NOT(ISERROR(SEARCH("EL00-034",B14)))</formula>
    </cfRule>
    <cfRule type="containsText" dxfId="81" priority="3597" stopIfTrue="1" operator="containsText" text="EL03">
      <formula>NOT(ISERROR(SEARCH("EL03",B14)))</formula>
    </cfRule>
    <cfRule type="containsText" dxfId="80" priority="3598" stopIfTrue="1" operator="containsText" text="EL00">
      <formula>NOT(ISERROR(SEARCH("EL00",B14)))</formula>
    </cfRule>
  </conditionalFormatting>
  <conditionalFormatting sqref="A14:A15">
    <cfRule type="containsText" dxfId="79" priority="3572" stopIfTrue="1" operator="containsText" text="MC0033">
      <formula>NOT(ISERROR(SEARCH("MC0033",A14)))</formula>
    </cfRule>
    <cfRule type="containsText" dxfId="78" priority="3573" stopIfTrue="1" operator="containsText" text="WAT00000">
      <formula>NOT(ISERROR(SEARCH("WAT00000",A14)))</formula>
    </cfRule>
    <cfRule type="containsText" dxfId="77" priority="3574" stopIfTrue="1" operator="containsText" text="MC00">
      <formula>NOT(ISERROR(SEARCH("MC00",A14)))</formula>
    </cfRule>
    <cfRule type="containsText" dxfId="76" priority="3575" stopIfTrue="1" operator="containsText" text="EL23">
      <formula>NOT(ISERROR(SEARCH("EL23",A14)))</formula>
    </cfRule>
    <cfRule type="containsText" dxfId="75" priority="3576" stopIfTrue="1" operator="containsText" text="EL10">
      <formula>NOT(ISERROR(SEARCH("EL10",A14)))</formula>
    </cfRule>
    <cfRule type="containsText" dxfId="74" priority="3577" stopIfTrue="1" operator="containsText" text="WAT">
      <formula>NOT(ISERROR(SEARCH("WAT",A14)))</formula>
    </cfRule>
    <cfRule type="containsText" dxfId="73" priority="3578" stopIfTrue="1" operator="containsText" text="EL99">
      <formula>NOT(ISERROR(SEARCH("EL99",A14)))</formula>
    </cfRule>
    <cfRule type="containsText" dxfId="72" priority="3579" stopIfTrue="1" operator="containsText" text="EL26">
      <formula>NOT(ISERROR(SEARCH("EL26",A14)))</formula>
    </cfRule>
    <cfRule type="containsText" dxfId="71" priority="3580" stopIfTrue="1" operator="containsText" text="EL25">
      <formula>NOT(ISERROR(SEARCH("EL25",A14)))</formula>
    </cfRule>
    <cfRule type="containsText" dxfId="70" priority="3581" stopIfTrue="1" operator="containsText" text="EL24">
      <formula>NOT(ISERROR(SEARCH("EL24",A14)))</formula>
    </cfRule>
    <cfRule type="containsText" dxfId="69" priority="3582" stopIfTrue="1" operator="containsText" text="EL00-034">
      <formula>NOT(ISERROR(SEARCH("EL00-034",A14)))</formula>
    </cfRule>
    <cfRule type="containsText" dxfId="68" priority="3583" stopIfTrue="1" operator="containsText" text="EL03">
      <formula>NOT(ISERROR(SEARCH("EL03",A14)))</formula>
    </cfRule>
    <cfRule type="containsText" dxfId="67" priority="3584" stopIfTrue="1" operator="containsText" text="EL00">
      <formula>NOT(ISERROR(SEARCH("EL00",A14)))</formula>
    </cfRule>
  </conditionalFormatting>
  <conditionalFormatting sqref="A14:A15">
    <cfRule type="containsText" dxfId="66" priority="3571" operator="containsText" text="MC0040">
      <formula>NOT(ISERROR(SEARCH("MC0040",A14)))</formula>
    </cfRule>
  </conditionalFormatting>
  <conditionalFormatting sqref="L14:AH15">
    <cfRule type="expression" dxfId="65" priority="3567" stopIfTrue="1">
      <formula>IF(L$6="Wochend",1,0)=1</formula>
    </cfRule>
    <cfRule type="expression" dxfId="64" priority="3568" stopIfTrue="1">
      <formula>IF(L$4="F",1,0)=1</formula>
    </cfRule>
    <cfRule type="expression" dxfId="63" priority="3569" stopIfTrue="1">
      <formula>IF(OR(L$4="G",L$4="U"),1,0)=1</formula>
    </cfRule>
  </conditionalFormatting>
  <conditionalFormatting sqref="L14:AH15">
    <cfRule type="expression" dxfId="62" priority="3570" stopIfTrue="1">
      <formula>IF(L$4="K",1,0)=1</formula>
    </cfRule>
  </conditionalFormatting>
  <conditionalFormatting sqref="L14:AH15">
    <cfRule type="containsText" dxfId="61" priority="3554" stopIfTrue="1" operator="containsText" text="MC33">
      <formula>NOT(ISERROR(SEARCH("MC33",L14)))</formula>
    </cfRule>
    <cfRule type="containsText" dxfId="60" priority="3555" stopIfTrue="1" operator="containsText" text="MC33">
      <formula>NOT(ISERROR(SEARCH("MC33",L14)))</formula>
    </cfRule>
    <cfRule type="containsText" dxfId="59" priority="3556" stopIfTrue="1" operator="containsText" text="MC00">
      <formula>NOT(ISERROR(SEARCH("MC00",L14)))</formula>
    </cfRule>
    <cfRule type="containsText" dxfId="58" priority="3557" stopIfTrue="1" operator="containsText" text="EL23">
      <formula>NOT(ISERROR(SEARCH("EL23",L14)))</formula>
    </cfRule>
    <cfRule type="containsText" dxfId="57" priority="3558" stopIfTrue="1" operator="containsText" text="EL10">
      <formula>NOT(ISERROR(SEARCH("EL10",L14)))</formula>
    </cfRule>
    <cfRule type="containsText" dxfId="56" priority="3559" stopIfTrue="1" operator="containsText" text="WAT">
      <formula>NOT(ISERROR(SEARCH("WAT",L14)))</formula>
    </cfRule>
    <cfRule type="containsText" dxfId="55" priority="3560" stopIfTrue="1" operator="containsText" text="EL99">
      <formula>NOT(ISERROR(SEARCH("EL99",L14)))</formula>
    </cfRule>
    <cfRule type="containsText" dxfId="54" priority="3561" stopIfTrue="1" operator="containsText" text="EL26">
      <formula>NOT(ISERROR(SEARCH("EL26",L14)))</formula>
    </cfRule>
    <cfRule type="containsText" dxfId="53" priority="3562" stopIfTrue="1" operator="containsText" text="EL25">
      <formula>NOT(ISERROR(SEARCH("EL25",L14)))</formula>
    </cfRule>
    <cfRule type="containsText" dxfId="52" priority="3563" stopIfTrue="1" operator="containsText" text="EL24">
      <formula>NOT(ISERROR(SEARCH("EL24",L14)))</formula>
    </cfRule>
    <cfRule type="containsText" dxfId="51" priority="3564" stopIfTrue="1" operator="containsText" text="EL00-034">
      <formula>NOT(ISERROR(SEARCH("EL00-034",L14)))</formula>
    </cfRule>
    <cfRule type="containsText" dxfId="50" priority="3565" stopIfTrue="1" operator="containsText" text="EL03">
      <formula>NOT(ISERROR(SEARCH("EL03",L14)))</formula>
    </cfRule>
    <cfRule type="containsText" dxfId="49" priority="3566" stopIfTrue="1" operator="containsText" text="EL00">
      <formula>NOT(ISERROR(SEARCH("EL00",L14)))</formula>
    </cfRule>
  </conditionalFormatting>
  <conditionalFormatting sqref="A14:A15">
    <cfRule type="expression" dxfId="48" priority="3535">
      <formula>ISNA(MATCH(A14,#REF!,0))</formula>
    </cfRule>
  </conditionalFormatting>
  <conditionalFormatting sqref="AF35">
    <cfRule type="expression" dxfId="47" priority="3456" stopIfTrue="1">
      <formula>IF(AF$6="Wochend",1,0)=1</formula>
    </cfRule>
  </conditionalFormatting>
  <conditionalFormatting sqref="AG35">
    <cfRule type="expression" dxfId="46" priority="3455" stopIfTrue="1">
      <formula>IF(AG$6="Wochend",1,0)=1</formula>
    </cfRule>
  </conditionalFormatting>
  <conditionalFormatting sqref="AH35">
    <cfRule type="expression" dxfId="45" priority="3454" stopIfTrue="1">
      <formula>IF(AH$6="Wochend",1,0)=1</formula>
    </cfRule>
  </conditionalFormatting>
  <conditionalFormatting sqref="I35">
    <cfRule type="expression" dxfId="44" priority="3453" stopIfTrue="1">
      <formula>IF(I$6="Wochend",1,0)=1</formula>
    </cfRule>
  </conditionalFormatting>
  <conditionalFormatting sqref="O35">
    <cfRule type="expression" dxfId="43" priority="3452" stopIfTrue="1">
      <formula>IF(O$6="Wochend",1,0)=1</formula>
    </cfRule>
  </conditionalFormatting>
  <conditionalFormatting sqref="P35">
    <cfRule type="expression" dxfId="42" priority="3451" stopIfTrue="1">
      <formula>IF(P$6="Wochend",1,0)=1</formula>
    </cfRule>
  </conditionalFormatting>
  <conditionalFormatting sqref="V35">
    <cfRule type="expression" dxfId="41" priority="3450" stopIfTrue="1">
      <formula>IF(V$6="Wochend",1,0)=1</formula>
    </cfRule>
  </conditionalFormatting>
  <conditionalFormatting sqref="W35">
    <cfRule type="expression" dxfId="40" priority="3449" stopIfTrue="1">
      <formula>IF(W$6="Wochend",1,0)=1</formula>
    </cfRule>
  </conditionalFormatting>
  <conditionalFormatting sqref="AC35">
    <cfRule type="expression" dxfId="39" priority="3448" stopIfTrue="1">
      <formula>IF(AC$6="Wochend",1,0)=1</formula>
    </cfRule>
  </conditionalFormatting>
  <conditionalFormatting sqref="AD35">
    <cfRule type="expression" dxfId="38" priority="3447" stopIfTrue="1">
      <formula>IF(AD$6="Wochend",1,0)=1</formula>
    </cfRule>
  </conditionalFormatting>
  <conditionalFormatting sqref="D3:U4">
    <cfRule type="expression" dxfId="37" priority="3277" stopIfTrue="1">
      <formula>IF(D$6="Wochend",1,0)=1</formula>
    </cfRule>
  </conditionalFormatting>
  <conditionalFormatting sqref="D14:H15 J14:K15">
    <cfRule type="expression" dxfId="36" priority="2887" stopIfTrue="1">
      <formula>IF(D$6="Wochend",1,0)=1</formula>
    </cfRule>
    <cfRule type="expression" dxfId="35" priority="2888" stopIfTrue="1">
      <formula>IF(D$4="F",1,0)=1</formula>
    </cfRule>
    <cfRule type="expression" dxfId="34" priority="2889" stopIfTrue="1">
      <formula>IF(OR(D$4="G",D$4="U"),1,0)=1</formula>
    </cfRule>
  </conditionalFormatting>
  <conditionalFormatting sqref="D14:H15 J14:K15">
    <cfRule type="expression" dxfId="33" priority="2890" stopIfTrue="1">
      <formula>IF(D$4="K",1,0)=1</formula>
    </cfRule>
  </conditionalFormatting>
  <conditionalFormatting sqref="D14:H15 J14:K15">
    <cfRule type="containsText" dxfId="32" priority="2874" stopIfTrue="1" operator="containsText" text="MC33">
      <formula>NOT(ISERROR(SEARCH("MC33",D14)))</formula>
    </cfRule>
    <cfRule type="containsText" dxfId="31" priority="2875" stopIfTrue="1" operator="containsText" text="MC33">
      <formula>NOT(ISERROR(SEARCH("MC33",D14)))</formula>
    </cfRule>
    <cfRule type="containsText" dxfId="30" priority="2876" stopIfTrue="1" operator="containsText" text="MC00">
      <formula>NOT(ISERROR(SEARCH("MC00",D14)))</formula>
    </cfRule>
    <cfRule type="containsText" dxfId="29" priority="2877" stopIfTrue="1" operator="containsText" text="EL23">
      <formula>NOT(ISERROR(SEARCH("EL23",D14)))</formula>
    </cfRule>
    <cfRule type="containsText" dxfId="28" priority="2878" stopIfTrue="1" operator="containsText" text="EL10">
      <formula>NOT(ISERROR(SEARCH("EL10",D14)))</formula>
    </cfRule>
    <cfRule type="containsText" dxfId="27" priority="2879" stopIfTrue="1" operator="containsText" text="WAT">
      <formula>NOT(ISERROR(SEARCH("WAT",D14)))</formula>
    </cfRule>
    <cfRule type="containsText" dxfId="26" priority="2880" stopIfTrue="1" operator="containsText" text="EL99">
      <formula>NOT(ISERROR(SEARCH("EL99",D14)))</formula>
    </cfRule>
    <cfRule type="containsText" dxfId="25" priority="2881" stopIfTrue="1" operator="containsText" text="EL26">
      <formula>NOT(ISERROR(SEARCH("EL26",D14)))</formula>
    </cfRule>
    <cfRule type="containsText" dxfId="24" priority="2882" stopIfTrue="1" operator="containsText" text="EL25">
      <formula>NOT(ISERROR(SEARCH("EL25",D14)))</formula>
    </cfRule>
    <cfRule type="containsText" dxfId="23" priority="2883" stopIfTrue="1" operator="containsText" text="EL24">
      <formula>NOT(ISERROR(SEARCH("EL24",D14)))</formula>
    </cfRule>
    <cfRule type="containsText" dxfId="22" priority="2884" stopIfTrue="1" operator="containsText" text="EL00-034">
      <formula>NOT(ISERROR(SEARCH("EL00-034",D14)))</formula>
    </cfRule>
    <cfRule type="containsText" dxfId="21" priority="2885" stopIfTrue="1" operator="containsText" text="EL03">
      <formula>NOT(ISERROR(SEARCH("EL03",D14)))</formula>
    </cfRule>
    <cfRule type="containsText" dxfId="20" priority="2886" stopIfTrue="1" operator="containsText" text="EL00">
      <formula>NOT(ISERROR(SEARCH("EL00",D14)))</formula>
    </cfRule>
  </conditionalFormatting>
  <conditionalFormatting sqref="I14:I15">
    <cfRule type="expression" dxfId="19" priority="2870" stopIfTrue="1">
      <formula>IF(I$6="Wochend",1,0)=1</formula>
    </cfRule>
    <cfRule type="expression" dxfId="18" priority="2871" stopIfTrue="1">
      <formula>IF(I$4="F",1,0)=1</formula>
    </cfRule>
    <cfRule type="expression" dxfId="17" priority="2872" stopIfTrue="1">
      <formula>IF(OR(I$4="G",I$4="U"),1,0)=1</formula>
    </cfRule>
  </conditionalFormatting>
  <conditionalFormatting sqref="I14:I15">
    <cfRule type="expression" dxfId="16" priority="2873" stopIfTrue="1">
      <formula>IF(I$4="K",1,0)=1</formula>
    </cfRule>
  </conditionalFormatting>
  <conditionalFormatting sqref="I14:I15">
    <cfRule type="containsText" dxfId="15" priority="2857" stopIfTrue="1" operator="containsText" text="MC33">
      <formula>NOT(ISERROR(SEARCH("MC33",I14)))</formula>
    </cfRule>
    <cfRule type="containsText" dxfId="14" priority="2858" stopIfTrue="1" operator="containsText" text="MC33">
      <formula>NOT(ISERROR(SEARCH("MC33",I14)))</formula>
    </cfRule>
    <cfRule type="containsText" dxfId="13" priority="2859" stopIfTrue="1" operator="containsText" text="MC00">
      <formula>NOT(ISERROR(SEARCH("MC00",I14)))</formula>
    </cfRule>
    <cfRule type="containsText" dxfId="12" priority="2860" stopIfTrue="1" operator="containsText" text="EL23">
      <formula>NOT(ISERROR(SEARCH("EL23",I14)))</formula>
    </cfRule>
    <cfRule type="containsText" dxfId="11" priority="2861" stopIfTrue="1" operator="containsText" text="EL10">
      <formula>NOT(ISERROR(SEARCH("EL10",I14)))</formula>
    </cfRule>
    <cfRule type="containsText" dxfId="10" priority="2862" stopIfTrue="1" operator="containsText" text="WAT">
      <formula>NOT(ISERROR(SEARCH("WAT",I14)))</formula>
    </cfRule>
    <cfRule type="containsText" dxfId="9" priority="2863" stopIfTrue="1" operator="containsText" text="EL99">
      <formula>NOT(ISERROR(SEARCH("EL99",I14)))</formula>
    </cfRule>
    <cfRule type="containsText" dxfId="8" priority="2864" stopIfTrue="1" operator="containsText" text="EL26">
      <formula>NOT(ISERROR(SEARCH("EL26",I14)))</formula>
    </cfRule>
    <cfRule type="containsText" dxfId="7" priority="2865" stopIfTrue="1" operator="containsText" text="EL25">
      <formula>NOT(ISERROR(SEARCH("EL25",I14)))</formula>
    </cfRule>
    <cfRule type="containsText" dxfId="6" priority="2866" stopIfTrue="1" operator="containsText" text="EL24">
      <formula>NOT(ISERROR(SEARCH("EL24",I14)))</formula>
    </cfRule>
    <cfRule type="containsText" dxfId="5" priority="2867" stopIfTrue="1" operator="containsText" text="EL00-034">
      <formula>NOT(ISERROR(SEARCH("EL00-034",I14)))</formula>
    </cfRule>
    <cfRule type="containsText" dxfId="4" priority="2868" stopIfTrue="1" operator="containsText" text="EL03">
      <formula>NOT(ISERROR(SEARCH("EL03",I14)))</formula>
    </cfRule>
    <cfRule type="containsText" dxfId="3" priority="2869" stopIfTrue="1" operator="containsText" text="EL00">
      <formula>NOT(ISERROR(SEARCH("EL00",I14)))</formula>
    </cfRule>
  </conditionalFormatting>
  <conditionalFormatting sqref="E6:AG6">
    <cfRule type="expression" dxfId="2" priority="1144" stopIfTrue="1">
      <formula>IF(E$6="Wochend",1,0)=1</formula>
    </cfRule>
  </conditionalFormatting>
  <conditionalFormatting sqref="H8:AH8">
    <cfRule type="expression" dxfId="1" priority="1143" stopIfTrue="1">
      <formula>IF(H$6="Wochend",1,0)=1</formula>
    </cfRule>
  </conditionalFormatting>
  <conditionalFormatting sqref="D8:E8">
    <cfRule type="expression" dxfId="0" priority="1142" stopIfTrue="1">
      <formula>IF(D$6="Wochend",1,0)=1</formula>
    </cfRule>
  </conditionalFormatting>
  <dataValidations xWindow="79" yWindow="648" count="2">
    <dataValidation type="list" allowBlank="1" showInputMessage="1" showErrorMessage="1" sqref="AD11" xr:uid="{00000000-0002-0000-0000-000000000000}">
      <formula1>Monate</formula1>
    </dataValidation>
    <dataValidation type="list" allowBlank="1" showInputMessage="1" showErrorMessage="1" sqref="B14:B26" xr:uid="{00000000-0002-0000-0000-000001000000}">
      <formula1>ap_ohneleer</formula1>
    </dataValidation>
  </dataValidations>
  <pageMargins left="0.31496062992125984" right="0.31496062992125984" top="1.0236220472440944" bottom="0.78740157480314965" header="0.27559055118110237" footer="0.51181102362204722"/>
  <pageSetup paperSize="8" scale="45" orientation="landscape" r:id="rId1"/>
  <headerFooter alignWithMargins="0"/>
  <ignoredErrors>
    <ignoredError sqref="AB29:AC30 D30:H30 D29:H29 N29:O29 N30:O30 L29:M30 U29:V29 U30:V30" unlockedFormula="1"/>
  </ignoredErrors>
  <legacyDrawing r:id="rId2"/>
  <extLst>
    <ext xmlns:x14="http://schemas.microsoft.com/office/spreadsheetml/2009/9/main" uri="{CCE6A557-97BC-4b89-ADB6-D9C93CAAB3DF}">
      <x14:dataValidations xmlns:xm="http://schemas.microsoft.com/office/excel/2006/main" xWindow="79" yWindow="648" count="2">
        <x14:dataValidation type="list" allowBlank="1" showInputMessage="1" showErrorMessage="1" xr:uid="{00000000-0002-0000-0000-000002000000}">
          <x14:formula1>
            <xm:f>Mitarbeiter!$A:$A</xm:f>
          </x14:formula1>
          <xm:sqref>T11:Y11</xm:sqref>
        </x14:dataValidation>
        <x14:dataValidation type="list" allowBlank="1" showInputMessage="1" showErrorMessage="1" xr:uid="{00000000-0002-0000-0000-000003000000}">
          <x14:formula1>
            <xm:f>ProjekteAP!$1:$1</xm:f>
          </x14:formula1>
          <xm:sqref>A14:A26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A1:AM158"/>
  <sheetViews>
    <sheetView topLeftCell="S1" workbookViewId="0">
      <selection activeCell="V1" sqref="V1"/>
    </sheetView>
  </sheetViews>
  <sheetFormatPr baseColWidth="10" defaultRowHeight="12.75" x14ac:dyDescent="0.2"/>
  <cols>
    <col min="1" max="1" width="34.42578125" customWidth="1"/>
    <col min="2" max="2" width="40.42578125" customWidth="1"/>
    <col min="3" max="3" width="37.42578125" customWidth="1"/>
    <col min="4" max="4" width="37.5703125" customWidth="1"/>
    <col min="5" max="5" width="37.28515625" customWidth="1"/>
    <col min="6" max="6" width="44.85546875" customWidth="1"/>
    <col min="7" max="7" width="38.85546875" customWidth="1"/>
    <col min="8" max="8" width="37.42578125" customWidth="1"/>
    <col min="9" max="9" width="35.140625" customWidth="1"/>
    <col min="10" max="10" width="44.140625" customWidth="1"/>
    <col min="11" max="11" width="46.5703125" customWidth="1"/>
    <col min="12" max="12" width="37.7109375" customWidth="1"/>
    <col min="13" max="13" width="57.5703125" customWidth="1"/>
    <col min="14" max="14" width="38.7109375" customWidth="1"/>
    <col min="15" max="15" width="38.85546875" customWidth="1"/>
    <col min="16" max="16" width="31.140625" customWidth="1"/>
    <col min="17" max="17" width="33.28515625" customWidth="1"/>
    <col min="18" max="18" width="26" customWidth="1"/>
    <col min="19" max="19" width="29.7109375" customWidth="1"/>
    <col min="20" max="20" width="31.85546875" customWidth="1"/>
    <col min="21" max="21" width="46.5703125" customWidth="1"/>
    <col min="22" max="22" width="54.28515625" customWidth="1"/>
    <col min="23" max="23" width="40.42578125" customWidth="1"/>
    <col min="24" max="24" width="46.85546875" customWidth="1"/>
    <col min="25" max="25" width="33.7109375" customWidth="1"/>
    <col min="26" max="26" width="33.42578125" customWidth="1"/>
    <col min="27" max="27" width="38.7109375" customWidth="1"/>
    <col min="28" max="28" width="45" customWidth="1"/>
    <col min="29" max="29" width="56.7109375" customWidth="1"/>
    <col min="30" max="30" width="50.42578125" customWidth="1"/>
    <col min="31" max="31" width="52.7109375" customWidth="1"/>
    <col min="32" max="32" width="52.140625" customWidth="1"/>
    <col min="33" max="33" width="44.85546875" customWidth="1"/>
    <col min="35" max="35" width="38.140625" bestFit="1" customWidth="1"/>
    <col min="36" max="36" width="46.28515625" bestFit="1" customWidth="1"/>
    <col min="37" max="37" width="28.7109375" bestFit="1" customWidth="1"/>
    <col min="38" max="38" width="53.85546875" customWidth="1"/>
    <col min="89" max="89" width="40.42578125" customWidth="1"/>
    <col min="91" max="91" width="37.7109375" customWidth="1"/>
    <col min="139" max="139" width="38.85546875" customWidth="1"/>
  </cols>
  <sheetData>
    <row r="1" spans="1:39" x14ac:dyDescent="0.2">
      <c r="A1" t="s">
        <v>181</v>
      </c>
      <c r="B1" t="s">
        <v>161</v>
      </c>
      <c r="C1" t="s">
        <v>424</v>
      </c>
      <c r="D1" t="s">
        <v>162</v>
      </c>
      <c r="E1" t="s">
        <v>163</v>
      </c>
      <c r="F1" t="s">
        <v>164</v>
      </c>
      <c r="G1" t="s">
        <v>165</v>
      </c>
      <c r="H1" t="s">
        <v>182</v>
      </c>
      <c r="I1" t="s">
        <v>183</v>
      </c>
      <c r="J1" t="s">
        <v>184</v>
      </c>
      <c r="K1" t="s">
        <v>166</v>
      </c>
      <c r="L1" t="s">
        <v>392</v>
      </c>
      <c r="M1" t="s">
        <v>512</v>
      </c>
      <c r="N1" t="s">
        <v>167</v>
      </c>
      <c r="O1" t="s">
        <v>168</v>
      </c>
      <c r="P1" t="s">
        <v>445</v>
      </c>
      <c r="Q1" t="s">
        <v>418</v>
      </c>
      <c r="R1" t="s">
        <v>435</v>
      </c>
      <c r="S1" t="s">
        <v>393</v>
      </c>
      <c r="T1" t="s">
        <v>394</v>
      </c>
      <c r="U1" t="s">
        <v>469</v>
      </c>
      <c r="V1" t="s">
        <v>293</v>
      </c>
      <c r="W1" t="s">
        <v>169</v>
      </c>
      <c r="X1" t="s">
        <v>170</v>
      </c>
      <c r="Y1" t="s">
        <v>453</v>
      </c>
      <c r="Z1" t="s">
        <v>171</v>
      </c>
      <c r="AA1" t="s">
        <v>172</v>
      </c>
      <c r="AB1" t="s">
        <v>173</v>
      </c>
      <c r="AC1" t="s">
        <v>174</v>
      </c>
      <c r="AD1" t="s">
        <v>764</v>
      </c>
      <c r="AE1" t="s">
        <v>456</v>
      </c>
      <c r="AF1" t="s">
        <v>175</v>
      </c>
      <c r="AG1" t="s">
        <v>176</v>
      </c>
      <c r="AH1" t="s">
        <v>177</v>
      </c>
      <c r="AI1" t="s">
        <v>411</v>
      </c>
      <c r="AJ1" t="s">
        <v>178</v>
      </c>
      <c r="AK1" t="s">
        <v>454</v>
      </c>
      <c r="AL1" t="s">
        <v>510</v>
      </c>
      <c r="AM1" t="s">
        <v>179</v>
      </c>
    </row>
    <row r="2" spans="1:39" x14ac:dyDescent="0.2">
      <c r="A2" t="s">
        <v>185</v>
      </c>
      <c r="B2" t="s">
        <v>245</v>
      </c>
      <c r="C2" t="s">
        <v>1179</v>
      </c>
      <c r="D2" t="s">
        <v>288</v>
      </c>
      <c r="E2" t="s">
        <v>246</v>
      </c>
      <c r="F2" t="s">
        <v>245</v>
      </c>
      <c r="K2" t="s">
        <v>1177</v>
      </c>
      <c r="L2" t="s">
        <v>245</v>
      </c>
      <c r="M2" t="s">
        <v>513</v>
      </c>
      <c r="N2" t="s">
        <v>187</v>
      </c>
      <c r="O2" t="s">
        <v>793</v>
      </c>
      <c r="P2" t="s">
        <v>245</v>
      </c>
      <c r="Q2" t="s">
        <v>419</v>
      </c>
      <c r="U2" t="s">
        <v>753</v>
      </c>
      <c r="V2" t="s">
        <v>668</v>
      </c>
      <c r="W2" t="s">
        <v>653</v>
      </c>
      <c r="X2" t="s">
        <v>190</v>
      </c>
      <c r="Y2" t="s">
        <v>190</v>
      </c>
      <c r="Z2" t="s">
        <v>190</v>
      </c>
      <c r="AA2" t="s">
        <v>715</v>
      </c>
      <c r="AB2" t="s">
        <v>190</v>
      </c>
      <c r="AC2" t="s">
        <v>190</v>
      </c>
      <c r="AD2" t="s">
        <v>193</v>
      </c>
      <c r="AE2" t="s">
        <v>1153</v>
      </c>
      <c r="AF2" t="s">
        <v>668</v>
      </c>
      <c r="AG2" t="s">
        <v>190</v>
      </c>
      <c r="AH2" t="s">
        <v>190</v>
      </c>
      <c r="AI2" t="s">
        <v>190</v>
      </c>
      <c r="AJ2" t="s">
        <v>220</v>
      </c>
      <c r="AK2" t="s">
        <v>190</v>
      </c>
      <c r="AL2" t="s">
        <v>190</v>
      </c>
    </row>
    <row r="3" spans="1:39" x14ac:dyDescent="0.2">
      <c r="A3" t="s">
        <v>186</v>
      </c>
      <c r="B3" t="s">
        <v>185</v>
      </c>
      <c r="C3" t="s">
        <v>1180</v>
      </c>
      <c r="D3" t="s">
        <v>248</v>
      </c>
      <c r="E3" t="s">
        <v>247</v>
      </c>
      <c r="F3" t="s">
        <v>185</v>
      </c>
      <c r="K3" t="s">
        <v>1178</v>
      </c>
      <c r="L3" t="s">
        <v>185</v>
      </c>
      <c r="M3" t="s">
        <v>514</v>
      </c>
      <c r="N3" t="s">
        <v>516</v>
      </c>
      <c r="O3" t="s">
        <v>794</v>
      </c>
      <c r="P3" t="s">
        <v>185</v>
      </c>
      <c r="Q3" t="s">
        <v>425</v>
      </c>
      <c r="U3" t="s">
        <v>754</v>
      </c>
      <c r="V3" t="s">
        <v>190</v>
      </c>
      <c r="W3" t="s">
        <v>190</v>
      </c>
      <c r="X3" t="s">
        <v>191</v>
      </c>
      <c r="Y3" t="s">
        <v>191</v>
      </c>
      <c r="Z3" t="s">
        <v>191</v>
      </c>
      <c r="AA3" t="s">
        <v>716</v>
      </c>
      <c r="AB3" t="s">
        <v>206</v>
      </c>
      <c r="AC3" t="s">
        <v>1087</v>
      </c>
      <c r="AD3" t="s">
        <v>765</v>
      </c>
      <c r="AF3" t="s">
        <v>190</v>
      </c>
      <c r="AG3" t="s">
        <v>687</v>
      </c>
      <c r="AH3" t="s">
        <v>191</v>
      </c>
      <c r="AI3" t="s">
        <v>191</v>
      </c>
      <c r="AJ3" t="s">
        <v>221</v>
      </c>
      <c r="AK3" t="s">
        <v>191</v>
      </c>
      <c r="AL3" t="s">
        <v>191</v>
      </c>
    </row>
    <row r="4" spans="1:39" x14ac:dyDescent="0.2">
      <c r="A4" t="s">
        <v>187</v>
      </c>
      <c r="B4" t="s">
        <v>438</v>
      </c>
      <c r="C4" t="s">
        <v>1181</v>
      </c>
      <c r="D4" t="s">
        <v>244</v>
      </c>
      <c r="E4" t="s">
        <v>248</v>
      </c>
      <c r="F4" t="s">
        <v>248</v>
      </c>
      <c r="L4" t="s">
        <v>186</v>
      </c>
      <c r="M4" t="s">
        <v>515</v>
      </c>
      <c r="N4" t="s">
        <v>517</v>
      </c>
      <c r="O4" t="s">
        <v>795</v>
      </c>
      <c r="P4" t="s">
        <v>806</v>
      </c>
      <c r="Q4" t="s">
        <v>426</v>
      </c>
      <c r="U4" t="s">
        <v>811</v>
      </c>
      <c r="V4" t="s">
        <v>191</v>
      </c>
      <c r="W4" t="s">
        <v>654</v>
      </c>
      <c r="X4" t="s">
        <v>860</v>
      </c>
      <c r="Y4" t="s">
        <v>661</v>
      </c>
      <c r="Z4" t="s">
        <v>208</v>
      </c>
      <c r="AA4" t="s">
        <v>717</v>
      </c>
      <c r="AB4" t="s">
        <v>191</v>
      </c>
      <c r="AC4" t="s">
        <v>1088</v>
      </c>
      <c r="AD4" t="s">
        <v>766</v>
      </c>
      <c r="AF4" t="s">
        <v>191</v>
      </c>
      <c r="AG4" t="s">
        <v>191</v>
      </c>
      <c r="AH4" t="s">
        <v>770</v>
      </c>
      <c r="AI4" t="s">
        <v>697</v>
      </c>
      <c r="AJ4" t="s">
        <v>498</v>
      </c>
      <c r="AK4" t="s">
        <v>661</v>
      </c>
      <c r="AL4" t="s">
        <v>1166</v>
      </c>
    </row>
    <row r="5" spans="1:39" x14ac:dyDescent="0.2">
      <c r="A5" t="s">
        <v>188</v>
      </c>
      <c r="B5" t="s">
        <v>186</v>
      </c>
      <c r="C5" t="s">
        <v>1182</v>
      </c>
      <c r="D5" t="s">
        <v>249</v>
      </c>
      <c r="E5" t="s">
        <v>244</v>
      </c>
      <c r="F5" t="s">
        <v>244</v>
      </c>
      <c r="L5" t="s">
        <v>187</v>
      </c>
      <c r="N5" t="s">
        <v>518</v>
      </c>
      <c r="O5" t="s">
        <v>796</v>
      </c>
      <c r="P5" t="s">
        <v>186</v>
      </c>
      <c r="Q5" t="s">
        <v>427</v>
      </c>
      <c r="U5" t="s">
        <v>812</v>
      </c>
      <c r="V5" t="s">
        <v>813</v>
      </c>
      <c r="W5" t="s">
        <v>815</v>
      </c>
      <c r="X5" t="s">
        <v>655</v>
      </c>
      <c r="Y5" t="s">
        <v>662</v>
      </c>
      <c r="Z5" t="s">
        <v>297</v>
      </c>
      <c r="AA5" t="s">
        <v>718</v>
      </c>
      <c r="AB5" t="s">
        <v>960</v>
      </c>
      <c r="AC5" t="s">
        <v>1089</v>
      </c>
      <c r="AD5" t="s">
        <v>201</v>
      </c>
      <c r="AF5" t="s">
        <v>663</v>
      </c>
      <c r="AG5" t="s">
        <v>207</v>
      </c>
      <c r="AH5" t="s">
        <v>771</v>
      </c>
      <c r="AI5" t="s">
        <v>776</v>
      </c>
      <c r="AJ5" t="s">
        <v>222</v>
      </c>
      <c r="AK5" t="s">
        <v>662</v>
      </c>
      <c r="AL5" t="s">
        <v>1167</v>
      </c>
    </row>
    <row r="6" spans="1:39" x14ac:dyDescent="0.2">
      <c r="A6" t="s">
        <v>395</v>
      </c>
      <c r="B6" t="s">
        <v>439</v>
      </c>
      <c r="D6" t="s">
        <v>250</v>
      </c>
      <c r="E6" t="s">
        <v>249</v>
      </c>
      <c r="F6" t="s">
        <v>249</v>
      </c>
      <c r="L6" t="s">
        <v>188</v>
      </c>
      <c r="N6" t="s">
        <v>519</v>
      </c>
      <c r="O6" t="s">
        <v>202</v>
      </c>
      <c r="P6" t="s">
        <v>807</v>
      </c>
      <c r="Q6" t="s">
        <v>428</v>
      </c>
      <c r="V6" t="s">
        <v>192</v>
      </c>
      <c r="W6" t="s">
        <v>816</v>
      </c>
      <c r="X6" t="s">
        <v>294</v>
      </c>
      <c r="Y6" t="s">
        <v>663</v>
      </c>
      <c r="Z6" t="s">
        <v>881</v>
      </c>
      <c r="AA6" t="s">
        <v>719</v>
      </c>
      <c r="AB6" t="s">
        <v>961</v>
      </c>
      <c r="AC6" t="s">
        <v>1090</v>
      </c>
      <c r="AD6" t="s">
        <v>767</v>
      </c>
      <c r="AF6" t="s">
        <v>669</v>
      </c>
      <c r="AG6" t="s">
        <v>655</v>
      </c>
      <c r="AH6" t="s">
        <v>655</v>
      </c>
      <c r="AI6" t="s">
        <v>777</v>
      </c>
      <c r="AJ6" t="s">
        <v>499</v>
      </c>
      <c r="AK6" t="s">
        <v>664</v>
      </c>
      <c r="AL6" t="s">
        <v>1168</v>
      </c>
    </row>
    <row r="7" spans="1:39" x14ac:dyDescent="0.2">
      <c r="A7" t="s">
        <v>396</v>
      </c>
      <c r="B7" t="s">
        <v>187</v>
      </c>
      <c r="D7" t="s">
        <v>251</v>
      </c>
      <c r="E7" t="s">
        <v>250</v>
      </c>
      <c r="F7" t="s">
        <v>250</v>
      </c>
      <c r="L7" t="s">
        <v>752</v>
      </c>
      <c r="N7" t="s">
        <v>520</v>
      </c>
      <c r="O7" t="s">
        <v>203</v>
      </c>
      <c r="P7" t="s">
        <v>187</v>
      </c>
      <c r="Q7" t="s">
        <v>429</v>
      </c>
      <c r="V7" t="s">
        <v>814</v>
      </c>
      <c r="W7" t="s">
        <v>655</v>
      </c>
      <c r="X7" t="s">
        <v>861</v>
      </c>
      <c r="Y7" t="s">
        <v>664</v>
      </c>
      <c r="Z7" t="s">
        <v>882</v>
      </c>
      <c r="AA7" t="s">
        <v>720</v>
      </c>
      <c r="AB7" t="s">
        <v>962</v>
      </c>
      <c r="AC7" t="s">
        <v>191</v>
      </c>
      <c r="AD7" t="s">
        <v>768</v>
      </c>
      <c r="AF7" t="s">
        <v>655</v>
      </c>
      <c r="AG7" t="s">
        <v>688</v>
      </c>
      <c r="AH7" t="s">
        <v>724</v>
      </c>
      <c r="AI7" t="s">
        <v>778</v>
      </c>
      <c r="AJ7" t="s">
        <v>223</v>
      </c>
      <c r="AK7" t="s">
        <v>655</v>
      </c>
      <c r="AL7" t="s">
        <v>664</v>
      </c>
    </row>
    <row r="8" spans="1:39" x14ac:dyDescent="0.2">
      <c r="A8" t="s">
        <v>397</v>
      </c>
      <c r="B8" t="s">
        <v>294</v>
      </c>
      <c r="D8" t="s">
        <v>252</v>
      </c>
      <c r="E8" t="s">
        <v>251</v>
      </c>
      <c r="F8" t="s">
        <v>251</v>
      </c>
      <c r="L8" t="s">
        <v>189</v>
      </c>
      <c r="N8" t="s">
        <v>521</v>
      </c>
      <c r="O8" t="s">
        <v>797</v>
      </c>
      <c r="P8" t="s">
        <v>294</v>
      </c>
      <c r="Q8" t="s">
        <v>477</v>
      </c>
      <c r="V8" t="s">
        <v>201</v>
      </c>
      <c r="W8" t="s">
        <v>294</v>
      </c>
      <c r="X8" t="s">
        <v>862</v>
      </c>
      <c r="Y8" t="s">
        <v>655</v>
      </c>
      <c r="Z8" t="s">
        <v>883</v>
      </c>
      <c r="AA8" t="s">
        <v>721</v>
      </c>
      <c r="AB8" t="s">
        <v>207</v>
      </c>
      <c r="AC8" t="s">
        <v>1091</v>
      </c>
      <c r="AF8" t="s">
        <v>769</v>
      </c>
      <c r="AG8" t="s">
        <v>689</v>
      </c>
      <c r="AH8" t="s">
        <v>772</v>
      </c>
      <c r="AI8" t="s">
        <v>698</v>
      </c>
      <c r="AJ8" t="s">
        <v>224</v>
      </c>
      <c r="AK8" t="s">
        <v>1164</v>
      </c>
      <c r="AL8" t="s">
        <v>655</v>
      </c>
    </row>
    <row r="9" spans="1:39" x14ac:dyDescent="0.2">
      <c r="A9" t="s">
        <v>398</v>
      </c>
      <c r="B9" t="s">
        <v>470</v>
      </c>
      <c r="D9" t="s">
        <v>253</v>
      </c>
      <c r="E9" t="s">
        <v>252</v>
      </c>
      <c r="F9" t="s">
        <v>252</v>
      </c>
      <c r="N9" t="s">
        <v>522</v>
      </c>
      <c r="O9" t="s">
        <v>798</v>
      </c>
      <c r="P9" t="s">
        <v>188</v>
      </c>
      <c r="Q9" t="s">
        <v>459</v>
      </c>
      <c r="W9" t="s">
        <v>817</v>
      </c>
      <c r="X9" t="s">
        <v>863</v>
      </c>
      <c r="Y9" t="s">
        <v>294</v>
      </c>
      <c r="Z9" t="s">
        <v>884</v>
      </c>
      <c r="AA9" t="s">
        <v>957</v>
      </c>
      <c r="AB9" t="s">
        <v>208</v>
      </c>
      <c r="AC9" t="s">
        <v>1092</v>
      </c>
      <c r="AF9" t="s">
        <v>670</v>
      </c>
      <c r="AG9" t="s">
        <v>690</v>
      </c>
      <c r="AH9" t="s">
        <v>773</v>
      </c>
      <c r="AI9" t="s">
        <v>699</v>
      </c>
      <c r="AJ9" t="s">
        <v>225</v>
      </c>
      <c r="AK9" t="s">
        <v>1165</v>
      </c>
      <c r="AL9" t="s">
        <v>1169</v>
      </c>
    </row>
    <row r="10" spans="1:39" x14ac:dyDescent="0.2">
      <c r="A10" t="s">
        <v>189</v>
      </c>
      <c r="B10" t="s">
        <v>471</v>
      </c>
      <c r="D10" t="s">
        <v>202</v>
      </c>
      <c r="E10" t="s">
        <v>253</v>
      </c>
      <c r="F10" t="s">
        <v>253</v>
      </c>
      <c r="N10" t="s">
        <v>523</v>
      </c>
      <c r="O10" t="s">
        <v>799</v>
      </c>
      <c r="P10" t="s">
        <v>808</v>
      </c>
      <c r="Q10" t="s">
        <v>474</v>
      </c>
      <c r="W10" t="s">
        <v>818</v>
      </c>
      <c r="X10" t="s">
        <v>864</v>
      </c>
      <c r="Y10" t="s">
        <v>665</v>
      </c>
      <c r="Z10" t="s">
        <v>885</v>
      </c>
      <c r="AA10" t="s">
        <v>958</v>
      </c>
      <c r="AB10" t="s">
        <v>192</v>
      </c>
      <c r="AC10" t="s">
        <v>1093</v>
      </c>
      <c r="AF10" t="s">
        <v>671</v>
      </c>
      <c r="AG10" t="s">
        <v>691</v>
      </c>
      <c r="AH10" t="s">
        <v>774</v>
      </c>
      <c r="AI10" t="s">
        <v>700</v>
      </c>
      <c r="AJ10" t="s">
        <v>226</v>
      </c>
      <c r="AK10" t="s">
        <v>295</v>
      </c>
      <c r="AL10" t="s">
        <v>193</v>
      </c>
    </row>
    <row r="11" spans="1:39" x14ac:dyDescent="0.2">
      <c r="A11" t="s">
        <v>791</v>
      </c>
      <c r="B11" t="s">
        <v>472</v>
      </c>
      <c r="D11" t="s">
        <v>254</v>
      </c>
      <c r="E11" t="s">
        <v>202</v>
      </c>
      <c r="F11" t="s">
        <v>202</v>
      </c>
      <c r="N11" t="s">
        <v>524</v>
      </c>
      <c r="O11" t="s">
        <v>800</v>
      </c>
      <c r="P11" t="s">
        <v>189</v>
      </c>
      <c r="Q11" t="s">
        <v>475</v>
      </c>
      <c r="W11" t="s">
        <v>819</v>
      </c>
      <c r="X11" t="s">
        <v>865</v>
      </c>
      <c r="Y11" t="s">
        <v>295</v>
      </c>
      <c r="Z11" t="s">
        <v>886</v>
      </c>
      <c r="AA11" t="s">
        <v>959</v>
      </c>
      <c r="AB11" t="s">
        <v>963</v>
      </c>
      <c r="AC11" t="s">
        <v>1094</v>
      </c>
      <c r="AF11" t="s">
        <v>672</v>
      </c>
      <c r="AG11" t="s">
        <v>692</v>
      </c>
      <c r="AH11" t="s">
        <v>725</v>
      </c>
      <c r="AI11" t="s">
        <v>701</v>
      </c>
      <c r="AJ11" t="s">
        <v>227</v>
      </c>
      <c r="AK11" t="s">
        <v>667</v>
      </c>
      <c r="AL11" t="s">
        <v>201</v>
      </c>
    </row>
    <row r="12" spans="1:39" x14ac:dyDescent="0.2">
      <c r="A12" t="s">
        <v>792</v>
      </c>
      <c r="B12" t="s">
        <v>1176</v>
      </c>
      <c r="D12" t="s">
        <v>255</v>
      </c>
      <c r="E12" t="s">
        <v>254</v>
      </c>
      <c r="F12" t="s">
        <v>254</v>
      </c>
      <c r="N12" t="s">
        <v>525</v>
      </c>
      <c r="O12" t="s">
        <v>279</v>
      </c>
      <c r="P12" t="s">
        <v>809</v>
      </c>
      <c r="Q12" t="s">
        <v>420</v>
      </c>
      <c r="W12" t="s">
        <v>820</v>
      </c>
      <c r="X12" t="s">
        <v>866</v>
      </c>
      <c r="Y12" t="s">
        <v>666</v>
      </c>
      <c r="Z12" t="s">
        <v>887</v>
      </c>
      <c r="AB12" t="s">
        <v>964</v>
      </c>
      <c r="AC12" t="s">
        <v>1095</v>
      </c>
      <c r="AF12" t="s">
        <v>673</v>
      </c>
      <c r="AG12" t="s">
        <v>693</v>
      </c>
      <c r="AH12" t="s">
        <v>726</v>
      </c>
      <c r="AI12" t="s">
        <v>702</v>
      </c>
      <c r="AJ12" t="s">
        <v>228</v>
      </c>
      <c r="AK12" t="s">
        <v>193</v>
      </c>
    </row>
    <row r="13" spans="1:39" x14ac:dyDescent="0.2">
      <c r="A13" t="s">
        <v>408</v>
      </c>
      <c r="B13" t="s">
        <v>188</v>
      </c>
      <c r="D13" t="s">
        <v>256</v>
      </c>
      <c r="E13" t="s">
        <v>255</v>
      </c>
      <c r="F13" t="s">
        <v>255</v>
      </c>
      <c r="N13" t="s">
        <v>526</v>
      </c>
      <c r="O13" t="s">
        <v>204</v>
      </c>
      <c r="P13" t="s">
        <v>408</v>
      </c>
      <c r="Q13" t="s">
        <v>421</v>
      </c>
      <c r="W13" t="s">
        <v>821</v>
      </c>
      <c r="X13" t="s">
        <v>790</v>
      </c>
      <c r="Y13" t="s">
        <v>667</v>
      </c>
      <c r="Z13" t="s">
        <v>888</v>
      </c>
      <c r="AB13" t="s">
        <v>965</v>
      </c>
      <c r="AC13" t="s">
        <v>655</v>
      </c>
      <c r="AF13" t="s">
        <v>217</v>
      </c>
      <c r="AG13" t="s">
        <v>694</v>
      </c>
      <c r="AH13" t="s">
        <v>727</v>
      </c>
      <c r="AI13" t="s">
        <v>779</v>
      </c>
      <c r="AJ13" t="s">
        <v>500</v>
      </c>
      <c r="AK13" t="s">
        <v>201</v>
      </c>
    </row>
    <row r="14" spans="1:39" x14ac:dyDescent="0.2">
      <c r="A14" t="s">
        <v>409</v>
      </c>
      <c r="B14" t="s">
        <v>395</v>
      </c>
      <c r="D14" t="s">
        <v>257</v>
      </c>
      <c r="E14" t="s">
        <v>256</v>
      </c>
      <c r="F14" t="s">
        <v>256</v>
      </c>
      <c r="N14" t="s">
        <v>527</v>
      </c>
      <c r="O14" t="s">
        <v>801</v>
      </c>
      <c r="P14" t="s">
        <v>409</v>
      </c>
      <c r="Q14" t="s">
        <v>431</v>
      </c>
      <c r="W14" t="s">
        <v>822</v>
      </c>
      <c r="X14" t="s">
        <v>867</v>
      </c>
      <c r="Y14" t="s">
        <v>193</v>
      </c>
      <c r="Z14" t="s">
        <v>889</v>
      </c>
      <c r="AB14" t="s">
        <v>966</v>
      </c>
      <c r="AC14" t="s">
        <v>192</v>
      </c>
      <c r="AF14" t="s">
        <v>674</v>
      </c>
      <c r="AG14" t="s">
        <v>695</v>
      </c>
      <c r="AH14" t="s">
        <v>728</v>
      </c>
      <c r="AI14" t="s">
        <v>703</v>
      </c>
      <c r="AJ14" t="s">
        <v>229</v>
      </c>
    </row>
    <row r="15" spans="1:39" x14ac:dyDescent="0.2">
      <c r="A15" t="s">
        <v>410</v>
      </c>
      <c r="B15" t="s">
        <v>396</v>
      </c>
      <c r="D15" t="s">
        <v>258</v>
      </c>
      <c r="E15" t="s">
        <v>457</v>
      </c>
      <c r="F15" t="s">
        <v>257</v>
      </c>
      <c r="N15" t="s">
        <v>528</v>
      </c>
      <c r="O15" t="s">
        <v>802</v>
      </c>
      <c r="P15" t="s">
        <v>410</v>
      </c>
      <c r="Q15" t="s">
        <v>482</v>
      </c>
      <c r="W15" t="s">
        <v>823</v>
      </c>
      <c r="X15" t="s">
        <v>868</v>
      </c>
      <c r="Y15" t="s">
        <v>201</v>
      </c>
      <c r="Z15" t="s">
        <v>890</v>
      </c>
      <c r="AB15" t="s">
        <v>967</v>
      </c>
      <c r="AC15" t="s">
        <v>1096</v>
      </c>
      <c r="AF15" t="s">
        <v>675</v>
      </c>
      <c r="AG15" t="s">
        <v>193</v>
      </c>
      <c r="AH15" t="s">
        <v>729</v>
      </c>
      <c r="AI15" t="s">
        <v>780</v>
      </c>
      <c r="AJ15" t="s">
        <v>230</v>
      </c>
    </row>
    <row r="16" spans="1:39" x14ac:dyDescent="0.2">
      <c r="B16" t="s">
        <v>397</v>
      </c>
      <c r="D16" t="s">
        <v>259</v>
      </c>
      <c r="E16" t="s">
        <v>257</v>
      </c>
      <c r="F16" t="s">
        <v>258</v>
      </c>
      <c r="N16" t="s">
        <v>529</v>
      </c>
      <c r="O16" t="s">
        <v>803</v>
      </c>
      <c r="P16" t="s">
        <v>417</v>
      </c>
      <c r="Q16" t="s">
        <v>434</v>
      </c>
      <c r="W16" t="s">
        <v>656</v>
      </c>
      <c r="X16" t="s">
        <v>869</v>
      </c>
      <c r="Z16" t="s">
        <v>891</v>
      </c>
      <c r="AB16" t="s">
        <v>968</v>
      </c>
      <c r="AC16" t="s">
        <v>1097</v>
      </c>
      <c r="AF16" t="s">
        <v>676</v>
      </c>
      <c r="AG16" t="s">
        <v>194</v>
      </c>
      <c r="AH16" t="s">
        <v>730</v>
      </c>
      <c r="AI16" t="s">
        <v>655</v>
      </c>
      <c r="AJ16" t="s">
        <v>231</v>
      </c>
    </row>
    <row r="17" spans="2:36" x14ac:dyDescent="0.2">
      <c r="B17" t="s">
        <v>398</v>
      </c>
      <c r="D17" t="s">
        <v>260</v>
      </c>
      <c r="E17" t="s">
        <v>258</v>
      </c>
      <c r="F17" t="s">
        <v>259</v>
      </c>
      <c r="N17" t="s">
        <v>530</v>
      </c>
      <c r="O17" t="s">
        <v>804</v>
      </c>
      <c r="Q17" t="s">
        <v>478</v>
      </c>
      <c r="W17" t="s">
        <v>824</v>
      </c>
      <c r="X17" t="s">
        <v>296</v>
      </c>
      <c r="Z17" t="s">
        <v>892</v>
      </c>
      <c r="AB17" t="s">
        <v>969</v>
      </c>
      <c r="AC17" t="s">
        <v>1098</v>
      </c>
      <c r="AF17" t="s">
        <v>489</v>
      </c>
      <c r="AG17" t="s">
        <v>195</v>
      </c>
      <c r="AH17" t="s">
        <v>731</v>
      </c>
      <c r="AI17" t="s">
        <v>704</v>
      </c>
      <c r="AJ17" t="s">
        <v>455</v>
      </c>
    </row>
    <row r="18" spans="2:36" x14ac:dyDescent="0.2">
      <c r="B18" t="s">
        <v>440</v>
      </c>
      <c r="D18" t="s">
        <v>261</v>
      </c>
      <c r="E18" t="s">
        <v>259</v>
      </c>
      <c r="F18" t="s">
        <v>260</v>
      </c>
      <c r="N18" t="s">
        <v>531</v>
      </c>
      <c r="O18" t="s">
        <v>805</v>
      </c>
      <c r="Q18" t="s">
        <v>462</v>
      </c>
      <c r="W18" t="s">
        <v>825</v>
      </c>
      <c r="X18" t="s">
        <v>870</v>
      </c>
      <c r="Z18" t="s">
        <v>893</v>
      </c>
      <c r="AB18" t="s">
        <v>970</v>
      </c>
      <c r="AC18" t="s">
        <v>1099</v>
      </c>
      <c r="AF18" t="s">
        <v>490</v>
      </c>
      <c r="AG18" t="s">
        <v>196</v>
      </c>
      <c r="AH18" t="s">
        <v>732</v>
      </c>
      <c r="AI18" t="s">
        <v>705</v>
      </c>
      <c r="AJ18" t="s">
        <v>501</v>
      </c>
    </row>
    <row r="19" spans="2:36" x14ac:dyDescent="0.2">
      <c r="B19" t="s">
        <v>189</v>
      </c>
      <c r="D19" t="s">
        <v>262</v>
      </c>
      <c r="E19" t="s">
        <v>260</v>
      </c>
      <c r="F19" t="s">
        <v>261</v>
      </c>
      <c r="N19" t="s">
        <v>532</v>
      </c>
      <c r="Q19" t="s">
        <v>810</v>
      </c>
      <c r="W19" t="s">
        <v>826</v>
      </c>
      <c r="X19" t="s">
        <v>193</v>
      </c>
      <c r="Z19" t="s">
        <v>894</v>
      </c>
      <c r="AB19" t="s">
        <v>971</v>
      </c>
      <c r="AC19" t="s">
        <v>1100</v>
      </c>
      <c r="AF19" t="s">
        <v>1154</v>
      </c>
      <c r="AG19" t="s">
        <v>747</v>
      </c>
      <c r="AH19" t="s">
        <v>733</v>
      </c>
      <c r="AI19" t="s">
        <v>781</v>
      </c>
      <c r="AJ19" t="s">
        <v>502</v>
      </c>
    </row>
    <row r="20" spans="2:36" x14ac:dyDescent="0.2">
      <c r="B20" t="s">
        <v>399</v>
      </c>
      <c r="D20" t="s">
        <v>263</v>
      </c>
      <c r="E20" t="s">
        <v>261</v>
      </c>
      <c r="F20" t="s">
        <v>262</v>
      </c>
      <c r="N20" t="s">
        <v>533</v>
      </c>
      <c r="Q20" t="s">
        <v>460</v>
      </c>
      <c r="W20" t="s">
        <v>827</v>
      </c>
      <c r="X20" t="s">
        <v>871</v>
      </c>
      <c r="Z20" t="s">
        <v>895</v>
      </c>
      <c r="AB20" t="s">
        <v>972</v>
      </c>
      <c r="AC20" t="s">
        <v>1101</v>
      </c>
      <c r="AF20" t="s">
        <v>1185</v>
      </c>
      <c r="AG20" t="s">
        <v>748</v>
      </c>
      <c r="AH20" t="s">
        <v>734</v>
      </c>
      <c r="AI20" t="s">
        <v>782</v>
      </c>
      <c r="AJ20" t="s">
        <v>232</v>
      </c>
    </row>
    <row r="21" spans="2:36" x14ac:dyDescent="0.2">
      <c r="B21" t="s">
        <v>400</v>
      </c>
      <c r="D21" t="s">
        <v>264</v>
      </c>
      <c r="E21" t="s">
        <v>262</v>
      </c>
      <c r="F21" t="s">
        <v>263</v>
      </c>
      <c r="N21" t="s">
        <v>534</v>
      </c>
      <c r="Q21" t="s">
        <v>422</v>
      </c>
      <c r="W21" t="s">
        <v>828</v>
      </c>
      <c r="X21" t="s">
        <v>872</v>
      </c>
      <c r="Z21" t="s">
        <v>298</v>
      </c>
      <c r="AB21" t="s">
        <v>973</v>
      </c>
      <c r="AC21" t="s">
        <v>1102</v>
      </c>
      <c r="AF21" t="s">
        <v>1186</v>
      </c>
      <c r="AG21" t="s">
        <v>749</v>
      </c>
      <c r="AH21" t="s">
        <v>735</v>
      </c>
      <c r="AI21" t="s">
        <v>783</v>
      </c>
      <c r="AJ21" t="s">
        <v>503</v>
      </c>
    </row>
    <row r="22" spans="2:36" x14ac:dyDescent="0.2">
      <c r="B22" t="s">
        <v>401</v>
      </c>
      <c r="D22" t="s">
        <v>265</v>
      </c>
      <c r="E22" t="s">
        <v>263</v>
      </c>
      <c r="F22" t="s">
        <v>264</v>
      </c>
      <c r="N22" t="s">
        <v>535</v>
      </c>
      <c r="Q22" t="s">
        <v>423</v>
      </c>
      <c r="W22" t="s">
        <v>829</v>
      </c>
      <c r="X22" t="s">
        <v>873</v>
      </c>
      <c r="Z22" t="s">
        <v>896</v>
      </c>
      <c r="AB22" t="s">
        <v>974</v>
      </c>
      <c r="AC22" t="s">
        <v>1103</v>
      </c>
      <c r="AF22" t="s">
        <v>1155</v>
      </c>
      <c r="AG22" t="s">
        <v>750</v>
      </c>
      <c r="AH22" t="s">
        <v>736</v>
      </c>
      <c r="AI22" t="s">
        <v>784</v>
      </c>
      <c r="AJ22" t="s">
        <v>504</v>
      </c>
    </row>
    <row r="23" spans="2:36" x14ac:dyDescent="0.2">
      <c r="B23" t="s">
        <v>402</v>
      </c>
      <c r="D23" t="s">
        <v>266</v>
      </c>
      <c r="E23" t="s">
        <v>264</v>
      </c>
      <c r="F23" t="s">
        <v>265</v>
      </c>
      <c r="N23" t="s">
        <v>536</v>
      </c>
      <c r="Q23" t="s">
        <v>430</v>
      </c>
      <c r="W23" t="s">
        <v>830</v>
      </c>
      <c r="X23" t="s">
        <v>201</v>
      </c>
      <c r="Z23" t="s">
        <v>897</v>
      </c>
      <c r="AB23" t="s">
        <v>209</v>
      </c>
      <c r="AC23" t="s">
        <v>1104</v>
      </c>
      <c r="AF23" t="s">
        <v>1156</v>
      </c>
      <c r="AG23" t="s">
        <v>751</v>
      </c>
      <c r="AH23" t="s">
        <v>737</v>
      </c>
      <c r="AI23" t="s">
        <v>706</v>
      </c>
      <c r="AJ23" t="s">
        <v>233</v>
      </c>
    </row>
    <row r="24" spans="2:36" x14ac:dyDescent="0.2">
      <c r="B24" t="s">
        <v>403</v>
      </c>
      <c r="D24" t="s">
        <v>267</v>
      </c>
      <c r="E24" t="s">
        <v>265</v>
      </c>
      <c r="F24" t="s">
        <v>266</v>
      </c>
      <c r="N24" t="s">
        <v>537</v>
      </c>
      <c r="Q24" t="s">
        <v>451</v>
      </c>
      <c r="W24" t="s">
        <v>831</v>
      </c>
      <c r="X24" t="s">
        <v>874</v>
      </c>
      <c r="Z24" t="s">
        <v>898</v>
      </c>
      <c r="AB24" t="s">
        <v>975</v>
      </c>
      <c r="AC24" t="s">
        <v>1105</v>
      </c>
      <c r="AF24" t="s">
        <v>1157</v>
      </c>
      <c r="AG24" t="s">
        <v>201</v>
      </c>
      <c r="AH24" t="s">
        <v>738</v>
      </c>
      <c r="AI24" t="s">
        <v>785</v>
      </c>
      <c r="AJ24" t="s">
        <v>234</v>
      </c>
    </row>
    <row r="25" spans="2:36" x14ac:dyDescent="0.2">
      <c r="B25" t="s">
        <v>404</v>
      </c>
      <c r="D25" t="s">
        <v>203</v>
      </c>
      <c r="E25" t="s">
        <v>266</v>
      </c>
      <c r="F25" t="s">
        <v>267</v>
      </c>
      <c r="N25" t="s">
        <v>538</v>
      </c>
      <c r="Q25" t="s">
        <v>461</v>
      </c>
      <c r="W25" t="s">
        <v>832</v>
      </c>
      <c r="X25" t="s">
        <v>875</v>
      </c>
      <c r="Z25" t="s">
        <v>899</v>
      </c>
      <c r="AB25" t="s">
        <v>976</v>
      </c>
      <c r="AC25" t="s">
        <v>1106</v>
      </c>
      <c r="AF25" t="s">
        <v>1158</v>
      </c>
      <c r="AG25" t="s">
        <v>696</v>
      </c>
      <c r="AH25" t="s">
        <v>739</v>
      </c>
      <c r="AI25" t="s">
        <v>786</v>
      </c>
      <c r="AJ25" t="s">
        <v>235</v>
      </c>
    </row>
    <row r="26" spans="2:36" x14ac:dyDescent="0.2">
      <c r="B26" t="s">
        <v>405</v>
      </c>
      <c r="D26" t="s">
        <v>268</v>
      </c>
      <c r="E26" t="s">
        <v>267</v>
      </c>
      <c r="F26" t="s">
        <v>203</v>
      </c>
      <c r="N26" t="s">
        <v>539</v>
      </c>
      <c r="Q26" t="s">
        <v>446</v>
      </c>
      <c r="W26" t="s">
        <v>833</v>
      </c>
      <c r="X26" t="s">
        <v>876</v>
      </c>
      <c r="Z26" t="s">
        <v>900</v>
      </c>
      <c r="AB26" t="s">
        <v>977</v>
      </c>
      <c r="AC26" t="s">
        <v>1107</v>
      </c>
      <c r="AF26" t="s">
        <v>1159</v>
      </c>
      <c r="AG26" t="s">
        <v>464</v>
      </c>
      <c r="AH26" t="s">
        <v>740</v>
      </c>
      <c r="AI26" t="s">
        <v>787</v>
      </c>
      <c r="AJ26" t="s">
        <v>505</v>
      </c>
    </row>
    <row r="27" spans="2:36" x14ac:dyDescent="0.2">
      <c r="B27" t="s">
        <v>406</v>
      </c>
      <c r="D27" t="s">
        <v>269</v>
      </c>
      <c r="E27" t="s">
        <v>203</v>
      </c>
      <c r="F27" t="s">
        <v>268</v>
      </c>
      <c r="N27" t="s">
        <v>540</v>
      </c>
      <c r="Q27" t="s">
        <v>447</v>
      </c>
      <c r="W27" t="s">
        <v>834</v>
      </c>
      <c r="X27" t="s">
        <v>877</v>
      </c>
      <c r="Z27" t="s">
        <v>901</v>
      </c>
      <c r="AB27" t="s">
        <v>978</v>
      </c>
      <c r="AC27" t="s">
        <v>1108</v>
      </c>
      <c r="AF27" t="s">
        <v>1160</v>
      </c>
      <c r="AH27" t="s">
        <v>741</v>
      </c>
      <c r="AI27" t="s">
        <v>788</v>
      </c>
      <c r="AJ27" t="s">
        <v>506</v>
      </c>
    </row>
    <row r="28" spans="2:36" x14ac:dyDescent="0.2">
      <c r="B28" t="s">
        <v>407</v>
      </c>
      <c r="D28" t="s">
        <v>270</v>
      </c>
      <c r="E28" t="s">
        <v>268</v>
      </c>
      <c r="F28" t="s">
        <v>269</v>
      </c>
      <c r="N28" t="s">
        <v>541</v>
      </c>
      <c r="Q28" t="s">
        <v>448</v>
      </c>
      <c r="W28" t="s">
        <v>835</v>
      </c>
      <c r="X28" t="s">
        <v>878</v>
      </c>
      <c r="Z28" t="s">
        <v>902</v>
      </c>
      <c r="AB28" t="s">
        <v>979</v>
      </c>
      <c r="AC28" t="s">
        <v>1109</v>
      </c>
      <c r="AF28" t="s">
        <v>1161</v>
      </c>
      <c r="AH28" t="s">
        <v>742</v>
      </c>
      <c r="AI28" t="s">
        <v>707</v>
      </c>
      <c r="AJ28" t="s">
        <v>236</v>
      </c>
    </row>
    <row r="29" spans="2:36" x14ac:dyDescent="0.2">
      <c r="B29" t="s">
        <v>441</v>
      </c>
      <c r="D29" t="s">
        <v>271</v>
      </c>
      <c r="E29" t="s">
        <v>269</v>
      </c>
      <c r="F29" t="s">
        <v>270</v>
      </c>
      <c r="N29" t="s">
        <v>542</v>
      </c>
      <c r="Q29" t="s">
        <v>759</v>
      </c>
      <c r="W29" t="s">
        <v>836</v>
      </c>
      <c r="X29" t="s">
        <v>879</v>
      </c>
      <c r="Z29" t="s">
        <v>903</v>
      </c>
      <c r="AB29" t="s">
        <v>980</v>
      </c>
      <c r="AC29" t="s">
        <v>1110</v>
      </c>
      <c r="AF29" t="s">
        <v>1162</v>
      </c>
      <c r="AH29" t="s">
        <v>743</v>
      </c>
      <c r="AI29" t="s">
        <v>789</v>
      </c>
      <c r="AJ29" t="s">
        <v>237</v>
      </c>
    </row>
    <row r="30" spans="2:36" x14ac:dyDescent="0.2">
      <c r="B30" t="s">
        <v>408</v>
      </c>
      <c r="D30" t="s">
        <v>272</v>
      </c>
      <c r="E30" t="s">
        <v>270</v>
      </c>
      <c r="F30" t="s">
        <v>271</v>
      </c>
      <c r="N30" t="s">
        <v>543</v>
      </c>
      <c r="Q30" t="s">
        <v>760</v>
      </c>
      <c r="W30" t="s">
        <v>837</v>
      </c>
      <c r="X30" t="s">
        <v>880</v>
      </c>
      <c r="Z30" t="s">
        <v>904</v>
      </c>
      <c r="AB30" t="s">
        <v>981</v>
      </c>
      <c r="AC30" t="s">
        <v>1111</v>
      </c>
      <c r="AF30" t="s">
        <v>1163</v>
      </c>
      <c r="AH30" t="s">
        <v>744</v>
      </c>
      <c r="AI30" t="s">
        <v>790</v>
      </c>
      <c r="AJ30" t="s">
        <v>238</v>
      </c>
    </row>
    <row r="31" spans="2:36" x14ac:dyDescent="0.2">
      <c r="B31" t="s">
        <v>409</v>
      </c>
      <c r="D31" t="s">
        <v>273</v>
      </c>
      <c r="E31" t="s">
        <v>271</v>
      </c>
      <c r="F31" t="s">
        <v>272</v>
      </c>
      <c r="N31" t="s">
        <v>544</v>
      </c>
      <c r="Q31" t="s">
        <v>761</v>
      </c>
      <c r="W31" t="s">
        <v>838</v>
      </c>
      <c r="Z31" t="s">
        <v>905</v>
      </c>
      <c r="AB31" t="s">
        <v>982</v>
      </c>
      <c r="AC31" t="s">
        <v>1112</v>
      </c>
      <c r="AF31" t="s">
        <v>677</v>
      </c>
      <c r="AH31" t="s">
        <v>193</v>
      </c>
      <c r="AI31" t="s">
        <v>708</v>
      </c>
      <c r="AJ31" t="s">
        <v>507</v>
      </c>
    </row>
    <row r="32" spans="2:36" x14ac:dyDescent="0.2">
      <c r="B32" t="s">
        <v>410</v>
      </c>
      <c r="D32" t="s">
        <v>274</v>
      </c>
      <c r="E32" t="s">
        <v>272</v>
      </c>
      <c r="F32" t="s">
        <v>273</v>
      </c>
      <c r="N32" t="s">
        <v>545</v>
      </c>
      <c r="Q32" t="s">
        <v>762</v>
      </c>
      <c r="W32" t="s">
        <v>839</v>
      </c>
      <c r="Z32" t="s">
        <v>906</v>
      </c>
      <c r="AB32" t="s">
        <v>983</v>
      </c>
      <c r="AC32" t="s">
        <v>1113</v>
      </c>
      <c r="AF32" t="s">
        <v>678</v>
      </c>
      <c r="AH32" t="s">
        <v>201</v>
      </c>
      <c r="AI32" t="s">
        <v>709</v>
      </c>
      <c r="AJ32" t="s">
        <v>239</v>
      </c>
    </row>
    <row r="33" spans="2:36" x14ac:dyDescent="0.2">
      <c r="B33" t="s">
        <v>417</v>
      </c>
      <c r="D33" t="s">
        <v>275</v>
      </c>
      <c r="E33" t="s">
        <v>273</v>
      </c>
      <c r="F33" t="s">
        <v>274</v>
      </c>
      <c r="N33" t="s">
        <v>546</v>
      </c>
      <c r="Q33" t="s">
        <v>763</v>
      </c>
      <c r="W33" t="s">
        <v>840</v>
      </c>
      <c r="Z33" t="s">
        <v>907</v>
      </c>
      <c r="AB33" t="s">
        <v>984</v>
      </c>
      <c r="AC33" t="s">
        <v>1114</v>
      </c>
      <c r="AF33" t="s">
        <v>679</v>
      </c>
      <c r="AH33" t="s">
        <v>775</v>
      </c>
      <c r="AI33" t="s">
        <v>710</v>
      </c>
      <c r="AJ33" t="s">
        <v>508</v>
      </c>
    </row>
    <row r="34" spans="2:36" x14ac:dyDescent="0.2">
      <c r="B34" t="s">
        <v>442</v>
      </c>
      <c r="D34" t="s">
        <v>276</v>
      </c>
      <c r="E34" t="s">
        <v>274</v>
      </c>
      <c r="F34" t="s">
        <v>275</v>
      </c>
      <c r="N34" t="s">
        <v>547</v>
      </c>
      <c r="W34" t="s">
        <v>841</v>
      </c>
      <c r="Z34" t="s">
        <v>908</v>
      </c>
      <c r="AB34" t="s">
        <v>985</v>
      </c>
      <c r="AC34" t="s">
        <v>1115</v>
      </c>
      <c r="AF34" t="s">
        <v>680</v>
      </c>
      <c r="AH34" t="s">
        <v>745</v>
      </c>
      <c r="AI34" t="s">
        <v>711</v>
      </c>
      <c r="AJ34" t="s">
        <v>240</v>
      </c>
    </row>
    <row r="35" spans="2:36" x14ac:dyDescent="0.2">
      <c r="D35" t="s">
        <v>277</v>
      </c>
      <c r="E35" t="s">
        <v>275</v>
      </c>
      <c r="F35" t="s">
        <v>276</v>
      </c>
      <c r="N35" t="s">
        <v>548</v>
      </c>
      <c r="W35" t="s">
        <v>842</v>
      </c>
      <c r="Z35" t="s">
        <v>909</v>
      </c>
      <c r="AB35" t="s">
        <v>986</v>
      </c>
      <c r="AC35" t="s">
        <v>1116</v>
      </c>
      <c r="AF35" t="s">
        <v>681</v>
      </c>
      <c r="AH35" t="s">
        <v>746</v>
      </c>
      <c r="AI35" t="s">
        <v>712</v>
      </c>
      <c r="AJ35" t="s">
        <v>241</v>
      </c>
    </row>
    <row r="36" spans="2:36" x14ac:dyDescent="0.2">
      <c r="D36" t="s">
        <v>278</v>
      </c>
      <c r="E36" t="s">
        <v>276</v>
      </c>
      <c r="F36" t="s">
        <v>277</v>
      </c>
      <c r="N36" t="s">
        <v>549</v>
      </c>
      <c r="W36" t="s">
        <v>843</v>
      </c>
      <c r="Z36" t="s">
        <v>910</v>
      </c>
      <c r="AB36" t="s">
        <v>987</v>
      </c>
      <c r="AC36" t="s">
        <v>1117</v>
      </c>
      <c r="AF36" t="s">
        <v>682</v>
      </c>
      <c r="AI36" t="s">
        <v>667</v>
      </c>
      <c r="AJ36" t="s">
        <v>242</v>
      </c>
    </row>
    <row r="37" spans="2:36" x14ac:dyDescent="0.2">
      <c r="D37" t="s">
        <v>279</v>
      </c>
      <c r="E37" t="s">
        <v>277</v>
      </c>
      <c r="F37" t="s">
        <v>278</v>
      </c>
      <c r="N37" t="s">
        <v>550</v>
      </c>
      <c r="W37" t="s">
        <v>844</v>
      </c>
      <c r="Z37" t="s">
        <v>911</v>
      </c>
      <c r="AB37" t="s">
        <v>988</v>
      </c>
      <c r="AC37" t="s">
        <v>1118</v>
      </c>
      <c r="AF37" t="s">
        <v>683</v>
      </c>
      <c r="AI37" t="s">
        <v>193</v>
      </c>
      <c r="AJ37" t="s">
        <v>509</v>
      </c>
    </row>
    <row r="38" spans="2:36" x14ac:dyDescent="0.2">
      <c r="D38" t="s">
        <v>280</v>
      </c>
      <c r="E38" t="s">
        <v>278</v>
      </c>
      <c r="F38" t="s">
        <v>279</v>
      </c>
      <c r="N38" t="s">
        <v>551</v>
      </c>
      <c r="W38" t="s">
        <v>845</v>
      </c>
      <c r="Z38" t="s">
        <v>912</v>
      </c>
      <c r="AB38" t="s">
        <v>989</v>
      </c>
      <c r="AC38" t="s">
        <v>1119</v>
      </c>
      <c r="AF38" t="s">
        <v>684</v>
      </c>
      <c r="AI38" t="s">
        <v>201</v>
      </c>
      <c r="AJ38" t="s">
        <v>243</v>
      </c>
    </row>
    <row r="39" spans="2:36" x14ac:dyDescent="0.2">
      <c r="D39" t="s">
        <v>204</v>
      </c>
      <c r="E39" t="s">
        <v>279</v>
      </c>
      <c r="F39" t="s">
        <v>281</v>
      </c>
      <c r="N39" t="s">
        <v>552</v>
      </c>
      <c r="W39" t="s">
        <v>846</v>
      </c>
      <c r="Z39" t="s">
        <v>913</v>
      </c>
      <c r="AB39" t="s">
        <v>990</v>
      </c>
      <c r="AC39" t="s">
        <v>1120</v>
      </c>
      <c r="AF39" t="s">
        <v>685</v>
      </c>
      <c r="AI39" t="s">
        <v>464</v>
      </c>
    </row>
    <row r="40" spans="2:36" x14ac:dyDescent="0.2">
      <c r="D40" t="s">
        <v>281</v>
      </c>
      <c r="E40" t="s">
        <v>280</v>
      </c>
      <c r="F40" t="s">
        <v>186</v>
      </c>
      <c r="N40" t="s">
        <v>553</v>
      </c>
      <c r="W40" t="s">
        <v>847</v>
      </c>
      <c r="Z40" t="s">
        <v>914</v>
      </c>
      <c r="AB40" t="s">
        <v>991</v>
      </c>
      <c r="AC40" t="s">
        <v>1121</v>
      </c>
      <c r="AF40" t="s">
        <v>686</v>
      </c>
      <c r="AI40" t="s">
        <v>713</v>
      </c>
    </row>
    <row r="41" spans="2:36" x14ac:dyDescent="0.2">
      <c r="D41" t="s">
        <v>205</v>
      </c>
      <c r="E41" t="s">
        <v>204</v>
      </c>
      <c r="F41" t="s">
        <v>187</v>
      </c>
      <c r="N41" t="s">
        <v>554</v>
      </c>
      <c r="W41" t="s">
        <v>848</v>
      </c>
      <c r="Z41" t="s">
        <v>915</v>
      </c>
      <c r="AB41" t="s">
        <v>992</v>
      </c>
      <c r="AC41" t="s">
        <v>1122</v>
      </c>
      <c r="AF41" t="s">
        <v>464</v>
      </c>
      <c r="AI41" t="s">
        <v>714</v>
      </c>
    </row>
    <row r="42" spans="2:36" x14ac:dyDescent="0.2">
      <c r="D42" t="s">
        <v>463</v>
      </c>
      <c r="E42" t="s">
        <v>281</v>
      </c>
      <c r="F42" t="s">
        <v>188</v>
      </c>
      <c r="N42" t="s">
        <v>555</v>
      </c>
      <c r="W42" t="s">
        <v>849</v>
      </c>
      <c r="Z42" t="s">
        <v>916</v>
      </c>
      <c r="AB42" t="s">
        <v>993</v>
      </c>
      <c r="AC42" t="s">
        <v>1123</v>
      </c>
    </row>
    <row r="43" spans="2:36" x14ac:dyDescent="0.2">
      <c r="D43" t="s">
        <v>289</v>
      </c>
      <c r="E43" t="s">
        <v>449</v>
      </c>
      <c r="F43" t="s">
        <v>395</v>
      </c>
      <c r="N43" t="s">
        <v>556</v>
      </c>
      <c r="W43" t="s">
        <v>850</v>
      </c>
      <c r="Z43" t="s">
        <v>917</v>
      </c>
      <c r="AB43" t="s">
        <v>994</v>
      </c>
      <c r="AC43" t="s">
        <v>1124</v>
      </c>
    </row>
    <row r="44" spans="2:36" x14ac:dyDescent="0.2">
      <c r="D44" t="s">
        <v>283</v>
      </c>
      <c r="E44" t="s">
        <v>205</v>
      </c>
      <c r="F44" t="s">
        <v>396</v>
      </c>
      <c r="N44" t="s">
        <v>557</v>
      </c>
      <c r="W44" t="s">
        <v>851</v>
      </c>
      <c r="Z44" t="s">
        <v>918</v>
      </c>
      <c r="AB44" t="s">
        <v>995</v>
      </c>
      <c r="AC44" t="s">
        <v>1125</v>
      </c>
    </row>
    <row r="45" spans="2:36" x14ac:dyDescent="0.2">
      <c r="D45" t="s">
        <v>284</v>
      </c>
      <c r="E45" t="s">
        <v>450</v>
      </c>
      <c r="F45" t="s">
        <v>397</v>
      </c>
      <c r="N45" t="s">
        <v>558</v>
      </c>
      <c r="W45" t="s">
        <v>852</v>
      </c>
      <c r="Z45" t="s">
        <v>919</v>
      </c>
      <c r="AB45" t="s">
        <v>996</v>
      </c>
      <c r="AC45" t="s">
        <v>1126</v>
      </c>
    </row>
    <row r="46" spans="2:36" x14ac:dyDescent="0.2">
      <c r="D46" t="s">
        <v>285</v>
      </c>
      <c r="E46" t="s">
        <v>282</v>
      </c>
      <c r="F46" t="s">
        <v>398</v>
      </c>
      <c r="N46" t="s">
        <v>559</v>
      </c>
      <c r="W46" t="s">
        <v>853</v>
      </c>
      <c r="Z46" t="s">
        <v>920</v>
      </c>
      <c r="AB46" t="s">
        <v>997</v>
      </c>
      <c r="AC46" t="s">
        <v>1127</v>
      </c>
    </row>
    <row r="47" spans="2:36" x14ac:dyDescent="0.2">
      <c r="D47" t="s">
        <v>286</v>
      </c>
      <c r="E47" t="s">
        <v>283</v>
      </c>
      <c r="F47" t="s">
        <v>189</v>
      </c>
      <c r="N47" t="s">
        <v>560</v>
      </c>
      <c r="W47" t="s">
        <v>854</v>
      </c>
      <c r="Z47" t="s">
        <v>921</v>
      </c>
      <c r="AB47" t="s">
        <v>998</v>
      </c>
      <c r="AC47" t="s">
        <v>1128</v>
      </c>
    </row>
    <row r="48" spans="2:36" x14ac:dyDescent="0.2">
      <c r="D48" t="s">
        <v>290</v>
      </c>
      <c r="E48" t="s">
        <v>284</v>
      </c>
      <c r="F48" t="s">
        <v>408</v>
      </c>
      <c r="N48" t="s">
        <v>561</v>
      </c>
      <c r="W48" t="s">
        <v>295</v>
      </c>
      <c r="Z48" t="s">
        <v>922</v>
      </c>
      <c r="AB48" t="s">
        <v>1184</v>
      </c>
      <c r="AC48" t="s">
        <v>1129</v>
      </c>
    </row>
    <row r="49" spans="4:29" x14ac:dyDescent="0.2">
      <c r="D49" t="s">
        <v>291</v>
      </c>
      <c r="E49" t="s">
        <v>285</v>
      </c>
      <c r="N49" t="s">
        <v>562</v>
      </c>
      <c r="W49" t="s">
        <v>657</v>
      </c>
      <c r="Z49" t="s">
        <v>299</v>
      </c>
      <c r="AB49" t="s">
        <v>999</v>
      </c>
      <c r="AC49" t="s">
        <v>1130</v>
      </c>
    </row>
    <row r="50" spans="4:29" x14ac:dyDescent="0.2">
      <c r="D50" t="s">
        <v>292</v>
      </c>
      <c r="E50" t="s">
        <v>286</v>
      </c>
      <c r="N50" t="s">
        <v>563</v>
      </c>
      <c r="W50" t="s">
        <v>855</v>
      </c>
      <c r="Z50" t="s">
        <v>923</v>
      </c>
      <c r="AB50" t="s">
        <v>1000</v>
      </c>
      <c r="AC50" t="s">
        <v>1131</v>
      </c>
    </row>
    <row r="51" spans="4:29" x14ac:dyDescent="0.2">
      <c r="D51" t="s">
        <v>443</v>
      </c>
      <c r="E51" t="s">
        <v>290</v>
      </c>
      <c r="N51" t="s">
        <v>564</v>
      </c>
      <c r="W51" t="s">
        <v>856</v>
      </c>
      <c r="Z51" t="s">
        <v>924</v>
      </c>
      <c r="AB51" t="s">
        <v>1001</v>
      </c>
      <c r="AC51" t="s">
        <v>1132</v>
      </c>
    </row>
    <row r="52" spans="4:29" x14ac:dyDescent="0.2">
      <c r="D52" t="s">
        <v>452</v>
      </c>
      <c r="E52" t="s">
        <v>291</v>
      </c>
      <c r="N52" t="s">
        <v>565</v>
      </c>
      <c r="W52" t="s">
        <v>857</v>
      </c>
      <c r="Z52" t="s">
        <v>925</v>
      </c>
      <c r="AB52" t="s">
        <v>1002</v>
      </c>
      <c r="AC52" t="s">
        <v>1133</v>
      </c>
    </row>
    <row r="53" spans="4:29" x14ac:dyDescent="0.2">
      <c r="D53" t="s">
        <v>458</v>
      </c>
      <c r="E53" t="s">
        <v>292</v>
      </c>
      <c r="N53" t="s">
        <v>566</v>
      </c>
      <c r="W53" t="s">
        <v>858</v>
      </c>
      <c r="Z53" t="s">
        <v>926</v>
      </c>
      <c r="AB53" t="s">
        <v>1003</v>
      </c>
      <c r="AC53" t="s">
        <v>1134</v>
      </c>
    </row>
    <row r="54" spans="4:29" x14ac:dyDescent="0.2">
      <c r="D54" t="s">
        <v>473</v>
      </c>
      <c r="E54" t="s">
        <v>444</v>
      </c>
      <c r="N54" t="s">
        <v>567</v>
      </c>
      <c r="W54" t="s">
        <v>859</v>
      </c>
      <c r="Z54" t="s">
        <v>927</v>
      </c>
      <c r="AB54" t="s">
        <v>1004</v>
      </c>
      <c r="AC54" t="s">
        <v>1135</v>
      </c>
    </row>
    <row r="55" spans="4:29" x14ac:dyDescent="0.2">
      <c r="D55" t="s">
        <v>476</v>
      </c>
      <c r="E55" t="s">
        <v>452</v>
      </c>
      <c r="N55" t="s">
        <v>568</v>
      </c>
      <c r="W55" t="s">
        <v>193</v>
      </c>
      <c r="Z55" t="s">
        <v>300</v>
      </c>
      <c r="AB55" t="s">
        <v>1005</v>
      </c>
      <c r="AC55" t="s">
        <v>1136</v>
      </c>
    </row>
    <row r="56" spans="4:29" x14ac:dyDescent="0.2">
      <c r="D56" t="s">
        <v>480</v>
      </c>
      <c r="E56" t="s">
        <v>458</v>
      </c>
      <c r="N56" t="s">
        <v>569</v>
      </c>
      <c r="W56" t="s">
        <v>201</v>
      </c>
      <c r="Z56" t="s">
        <v>928</v>
      </c>
      <c r="AB56" t="s">
        <v>1006</v>
      </c>
      <c r="AC56" t="s">
        <v>1137</v>
      </c>
    </row>
    <row r="57" spans="4:29" x14ac:dyDescent="0.2">
      <c r="D57" t="s">
        <v>481</v>
      </c>
      <c r="E57" t="s">
        <v>473</v>
      </c>
      <c r="N57" t="s">
        <v>570</v>
      </c>
      <c r="W57" t="s">
        <v>658</v>
      </c>
      <c r="Z57" t="s">
        <v>929</v>
      </c>
      <c r="AB57" t="s">
        <v>1007</v>
      </c>
      <c r="AC57" t="s">
        <v>1138</v>
      </c>
    </row>
    <row r="58" spans="4:29" x14ac:dyDescent="0.2">
      <c r="E58" t="s">
        <v>755</v>
      </c>
      <c r="N58" t="s">
        <v>571</v>
      </c>
      <c r="W58" t="s">
        <v>659</v>
      </c>
      <c r="Z58" t="s">
        <v>930</v>
      </c>
      <c r="AB58" t="s">
        <v>1008</v>
      </c>
      <c r="AC58" t="s">
        <v>1139</v>
      </c>
    </row>
    <row r="59" spans="4:29" x14ac:dyDescent="0.2">
      <c r="E59" t="s">
        <v>756</v>
      </c>
      <c r="N59" t="s">
        <v>572</v>
      </c>
      <c r="W59" t="s">
        <v>660</v>
      </c>
      <c r="Z59" t="s">
        <v>931</v>
      </c>
      <c r="AB59" t="s">
        <v>1009</v>
      </c>
      <c r="AC59" t="s">
        <v>1140</v>
      </c>
    </row>
    <row r="60" spans="4:29" x14ac:dyDescent="0.2">
      <c r="E60" t="s">
        <v>757</v>
      </c>
      <c r="N60" t="s">
        <v>573</v>
      </c>
      <c r="Z60" t="s">
        <v>932</v>
      </c>
      <c r="AB60" t="s">
        <v>1010</v>
      </c>
      <c r="AC60" t="s">
        <v>1141</v>
      </c>
    </row>
    <row r="61" spans="4:29" x14ac:dyDescent="0.2">
      <c r="E61" t="s">
        <v>287</v>
      </c>
      <c r="N61" t="s">
        <v>574</v>
      </c>
      <c r="Z61" t="s">
        <v>933</v>
      </c>
      <c r="AB61" t="s">
        <v>1011</v>
      </c>
      <c r="AC61" t="s">
        <v>1142</v>
      </c>
    </row>
    <row r="62" spans="4:29" x14ac:dyDescent="0.2">
      <c r="E62" t="s">
        <v>511</v>
      </c>
      <c r="N62" t="s">
        <v>575</v>
      </c>
      <c r="Z62" t="s">
        <v>934</v>
      </c>
      <c r="AB62" t="s">
        <v>1012</v>
      </c>
      <c r="AC62" t="s">
        <v>1143</v>
      </c>
    </row>
    <row r="63" spans="4:29" x14ac:dyDescent="0.2">
      <c r="E63" t="s">
        <v>758</v>
      </c>
      <c r="N63" t="s">
        <v>576</v>
      </c>
      <c r="Z63" t="s">
        <v>935</v>
      </c>
      <c r="AB63" t="s">
        <v>1013</v>
      </c>
      <c r="AC63" t="s">
        <v>1144</v>
      </c>
    </row>
    <row r="64" spans="4:29" x14ac:dyDescent="0.2">
      <c r="N64" t="s">
        <v>577</v>
      </c>
      <c r="Z64" t="s">
        <v>936</v>
      </c>
      <c r="AB64" t="s">
        <v>1014</v>
      </c>
      <c r="AC64" t="s">
        <v>1145</v>
      </c>
    </row>
    <row r="65" spans="14:29" x14ac:dyDescent="0.2">
      <c r="N65" t="s">
        <v>578</v>
      </c>
      <c r="Z65" t="s">
        <v>937</v>
      </c>
      <c r="AB65" t="s">
        <v>1015</v>
      </c>
      <c r="AC65" t="s">
        <v>1146</v>
      </c>
    </row>
    <row r="66" spans="14:29" x14ac:dyDescent="0.2">
      <c r="N66" t="s">
        <v>579</v>
      </c>
      <c r="Z66" t="s">
        <v>938</v>
      </c>
      <c r="AB66" t="s">
        <v>1016</v>
      </c>
      <c r="AC66" t="s">
        <v>1147</v>
      </c>
    </row>
    <row r="67" spans="14:29" x14ac:dyDescent="0.2">
      <c r="N67" t="s">
        <v>580</v>
      </c>
      <c r="Z67" t="s">
        <v>301</v>
      </c>
      <c r="AB67" t="s">
        <v>1017</v>
      </c>
      <c r="AC67" t="s">
        <v>210</v>
      </c>
    </row>
    <row r="68" spans="14:29" x14ac:dyDescent="0.2">
      <c r="N68" t="s">
        <v>581</v>
      </c>
      <c r="Z68" t="s">
        <v>939</v>
      </c>
      <c r="AB68" t="s">
        <v>1018</v>
      </c>
      <c r="AC68" t="s">
        <v>1029</v>
      </c>
    </row>
    <row r="69" spans="14:29" x14ac:dyDescent="0.2">
      <c r="N69" t="s">
        <v>582</v>
      </c>
      <c r="Z69" t="s">
        <v>940</v>
      </c>
      <c r="AB69" t="s">
        <v>1019</v>
      </c>
      <c r="AC69" t="s">
        <v>1030</v>
      </c>
    </row>
    <row r="70" spans="14:29" x14ac:dyDescent="0.2">
      <c r="N70" t="s">
        <v>583</v>
      </c>
      <c r="Z70" t="s">
        <v>941</v>
      </c>
      <c r="AB70" t="s">
        <v>1020</v>
      </c>
      <c r="AC70" t="s">
        <v>1148</v>
      </c>
    </row>
    <row r="71" spans="14:29" x14ac:dyDescent="0.2">
      <c r="N71" t="s">
        <v>584</v>
      </c>
      <c r="Z71" t="s">
        <v>942</v>
      </c>
      <c r="AB71" t="s">
        <v>1021</v>
      </c>
      <c r="AC71" t="s">
        <v>1149</v>
      </c>
    </row>
    <row r="72" spans="14:29" x14ac:dyDescent="0.2">
      <c r="N72" t="s">
        <v>585</v>
      </c>
      <c r="Z72" t="s">
        <v>943</v>
      </c>
      <c r="AB72" t="s">
        <v>1022</v>
      </c>
      <c r="AC72" t="s">
        <v>1150</v>
      </c>
    </row>
    <row r="73" spans="14:29" x14ac:dyDescent="0.2">
      <c r="N73" t="s">
        <v>586</v>
      </c>
      <c r="Z73" t="s">
        <v>944</v>
      </c>
      <c r="AB73" t="s">
        <v>1023</v>
      </c>
      <c r="AC73" t="s">
        <v>193</v>
      </c>
    </row>
    <row r="74" spans="14:29" x14ac:dyDescent="0.2">
      <c r="N74" t="s">
        <v>587</v>
      </c>
      <c r="Z74" t="s">
        <v>945</v>
      </c>
      <c r="AB74" t="s">
        <v>1024</v>
      </c>
      <c r="AC74" t="s">
        <v>194</v>
      </c>
    </row>
    <row r="75" spans="14:29" x14ac:dyDescent="0.2">
      <c r="N75" t="s">
        <v>588</v>
      </c>
      <c r="Z75" t="s">
        <v>946</v>
      </c>
      <c r="AB75" t="s">
        <v>1025</v>
      </c>
      <c r="AC75" t="s">
        <v>195</v>
      </c>
    </row>
    <row r="76" spans="14:29" x14ac:dyDescent="0.2">
      <c r="N76" t="s">
        <v>589</v>
      </c>
      <c r="Z76" t="s">
        <v>947</v>
      </c>
      <c r="AB76" t="s">
        <v>1026</v>
      </c>
      <c r="AC76" t="s">
        <v>1151</v>
      </c>
    </row>
    <row r="77" spans="14:29" x14ac:dyDescent="0.2">
      <c r="N77" t="s">
        <v>590</v>
      </c>
      <c r="Z77" t="s">
        <v>948</v>
      </c>
      <c r="AB77" t="s">
        <v>1027</v>
      </c>
      <c r="AC77" t="s">
        <v>1152</v>
      </c>
    </row>
    <row r="78" spans="14:29" x14ac:dyDescent="0.2">
      <c r="N78" t="s">
        <v>591</v>
      </c>
      <c r="Z78" t="s">
        <v>949</v>
      </c>
      <c r="AB78" t="s">
        <v>1028</v>
      </c>
      <c r="AC78" t="s">
        <v>197</v>
      </c>
    </row>
    <row r="79" spans="14:29" x14ac:dyDescent="0.2">
      <c r="N79" t="s">
        <v>592</v>
      </c>
      <c r="Z79" t="s">
        <v>296</v>
      </c>
      <c r="AB79" t="s">
        <v>210</v>
      </c>
      <c r="AC79" t="s">
        <v>198</v>
      </c>
    </row>
    <row r="80" spans="14:29" x14ac:dyDescent="0.2">
      <c r="N80" t="s">
        <v>593</v>
      </c>
      <c r="Z80" t="s">
        <v>950</v>
      </c>
      <c r="AB80" t="s">
        <v>1029</v>
      </c>
      <c r="AC80" t="s">
        <v>199</v>
      </c>
    </row>
    <row r="81" spans="14:29" x14ac:dyDescent="0.2">
      <c r="N81" t="s">
        <v>594</v>
      </c>
      <c r="Z81" t="s">
        <v>1175</v>
      </c>
      <c r="AB81" t="s">
        <v>1030</v>
      </c>
      <c r="AC81" t="s">
        <v>200</v>
      </c>
    </row>
    <row r="82" spans="14:29" x14ac:dyDescent="0.2">
      <c r="N82" t="s">
        <v>595</v>
      </c>
      <c r="Z82" t="s">
        <v>951</v>
      </c>
      <c r="AB82" t="s">
        <v>211</v>
      </c>
      <c r="AC82" t="s">
        <v>201</v>
      </c>
    </row>
    <row r="83" spans="14:29" x14ac:dyDescent="0.2">
      <c r="N83" t="s">
        <v>596</v>
      </c>
      <c r="Z83" t="s">
        <v>952</v>
      </c>
      <c r="AB83" t="s">
        <v>1031</v>
      </c>
    </row>
    <row r="84" spans="14:29" x14ac:dyDescent="0.2">
      <c r="N84" t="s">
        <v>597</v>
      </c>
      <c r="Z84" t="s">
        <v>432</v>
      </c>
      <c r="AB84" t="s">
        <v>1032</v>
      </c>
    </row>
    <row r="85" spans="14:29" x14ac:dyDescent="0.2">
      <c r="N85" t="s">
        <v>598</v>
      </c>
      <c r="Z85" t="s">
        <v>953</v>
      </c>
      <c r="AB85" t="s">
        <v>212</v>
      </c>
    </row>
    <row r="86" spans="14:29" x14ac:dyDescent="0.2">
      <c r="N86" t="s">
        <v>599</v>
      </c>
      <c r="Z86" t="s">
        <v>433</v>
      </c>
      <c r="AB86" t="s">
        <v>213</v>
      </c>
    </row>
    <row r="87" spans="14:29" x14ac:dyDescent="0.2">
      <c r="N87" t="s">
        <v>600</v>
      </c>
      <c r="Z87" t="s">
        <v>954</v>
      </c>
      <c r="AB87" t="s">
        <v>1033</v>
      </c>
    </row>
    <row r="88" spans="14:29" x14ac:dyDescent="0.2">
      <c r="N88" t="s">
        <v>601</v>
      </c>
      <c r="Z88" t="s">
        <v>955</v>
      </c>
      <c r="AB88" t="s">
        <v>1034</v>
      </c>
    </row>
    <row r="89" spans="14:29" x14ac:dyDescent="0.2">
      <c r="N89" t="s">
        <v>602</v>
      </c>
      <c r="Z89" t="s">
        <v>956</v>
      </c>
      <c r="AB89" t="s">
        <v>1035</v>
      </c>
    </row>
    <row r="90" spans="14:29" x14ac:dyDescent="0.2">
      <c r="N90" t="s">
        <v>603</v>
      </c>
      <c r="Z90" t="s">
        <v>302</v>
      </c>
      <c r="AB90" t="s">
        <v>1036</v>
      </c>
    </row>
    <row r="91" spans="14:29" x14ac:dyDescent="0.2">
      <c r="N91" t="s">
        <v>604</v>
      </c>
      <c r="Z91" t="s">
        <v>193</v>
      </c>
      <c r="AB91" t="s">
        <v>1037</v>
      </c>
    </row>
    <row r="92" spans="14:29" x14ac:dyDescent="0.2">
      <c r="N92" t="s">
        <v>605</v>
      </c>
      <c r="Z92" t="s">
        <v>303</v>
      </c>
      <c r="AB92" t="s">
        <v>1038</v>
      </c>
    </row>
    <row r="93" spans="14:29" x14ac:dyDescent="0.2">
      <c r="N93" t="s">
        <v>606</v>
      </c>
      <c r="Z93" t="s">
        <v>304</v>
      </c>
      <c r="AB93" t="s">
        <v>1039</v>
      </c>
    </row>
    <row r="94" spans="14:29" x14ac:dyDescent="0.2">
      <c r="N94" t="s">
        <v>607</v>
      </c>
      <c r="Z94" t="s">
        <v>305</v>
      </c>
      <c r="AB94" t="s">
        <v>1040</v>
      </c>
    </row>
    <row r="95" spans="14:29" x14ac:dyDescent="0.2">
      <c r="N95" t="s">
        <v>608</v>
      </c>
      <c r="Z95" t="s">
        <v>201</v>
      </c>
      <c r="AB95" t="s">
        <v>1041</v>
      </c>
    </row>
    <row r="96" spans="14:29" x14ac:dyDescent="0.2">
      <c r="N96" t="s">
        <v>609</v>
      </c>
      <c r="Z96" t="s">
        <v>306</v>
      </c>
      <c r="AB96" t="s">
        <v>1042</v>
      </c>
    </row>
    <row r="97" spans="14:28" x14ac:dyDescent="0.2">
      <c r="N97" t="s">
        <v>610</v>
      </c>
      <c r="Z97" t="s">
        <v>307</v>
      </c>
      <c r="AB97" t="s">
        <v>1043</v>
      </c>
    </row>
    <row r="98" spans="14:28" x14ac:dyDescent="0.2">
      <c r="N98" t="s">
        <v>611</v>
      </c>
      <c r="Z98" t="s">
        <v>308</v>
      </c>
      <c r="AB98" t="s">
        <v>1044</v>
      </c>
    </row>
    <row r="99" spans="14:28" x14ac:dyDescent="0.2">
      <c r="N99" t="s">
        <v>612</v>
      </c>
      <c r="Z99" t="s">
        <v>468</v>
      </c>
      <c r="AB99" t="s">
        <v>1045</v>
      </c>
    </row>
    <row r="100" spans="14:28" x14ac:dyDescent="0.2">
      <c r="N100" t="s">
        <v>613</v>
      </c>
      <c r="Z100" t="s">
        <v>483</v>
      </c>
      <c r="AB100" t="s">
        <v>1046</v>
      </c>
    </row>
    <row r="101" spans="14:28" x14ac:dyDescent="0.2">
      <c r="N101" t="s">
        <v>614</v>
      </c>
      <c r="Z101" t="s">
        <v>484</v>
      </c>
      <c r="AB101" t="s">
        <v>1047</v>
      </c>
    </row>
    <row r="102" spans="14:28" x14ac:dyDescent="0.2">
      <c r="N102" t="s">
        <v>615</v>
      </c>
      <c r="Z102" t="s">
        <v>485</v>
      </c>
      <c r="AB102" t="s">
        <v>1048</v>
      </c>
    </row>
    <row r="103" spans="14:28" x14ac:dyDescent="0.2">
      <c r="N103" t="s">
        <v>616</v>
      </c>
      <c r="Z103" t="s">
        <v>486</v>
      </c>
      <c r="AB103" t="s">
        <v>1049</v>
      </c>
    </row>
    <row r="104" spans="14:28" x14ac:dyDescent="0.2">
      <c r="N104" t="s">
        <v>617</v>
      </c>
      <c r="Z104" t="s">
        <v>487</v>
      </c>
      <c r="AB104" t="s">
        <v>1050</v>
      </c>
    </row>
    <row r="105" spans="14:28" x14ac:dyDescent="0.2">
      <c r="N105" t="s">
        <v>618</v>
      </c>
      <c r="Z105" t="s">
        <v>488</v>
      </c>
      <c r="AB105" t="s">
        <v>1051</v>
      </c>
    </row>
    <row r="106" spans="14:28" x14ac:dyDescent="0.2">
      <c r="N106" t="s">
        <v>619</v>
      </c>
      <c r="Z106" t="s">
        <v>489</v>
      </c>
      <c r="AB106" t="s">
        <v>1052</v>
      </c>
    </row>
    <row r="107" spans="14:28" x14ac:dyDescent="0.2">
      <c r="N107" t="s">
        <v>620</v>
      </c>
      <c r="Z107" t="s">
        <v>490</v>
      </c>
      <c r="AB107" t="s">
        <v>1053</v>
      </c>
    </row>
    <row r="108" spans="14:28" x14ac:dyDescent="0.2">
      <c r="N108" t="s">
        <v>621</v>
      </c>
      <c r="Z108" t="s">
        <v>491</v>
      </c>
      <c r="AB108" t="s">
        <v>1054</v>
      </c>
    </row>
    <row r="109" spans="14:28" x14ac:dyDescent="0.2">
      <c r="N109" t="s">
        <v>622</v>
      </c>
      <c r="Z109" t="s">
        <v>492</v>
      </c>
      <c r="AB109" t="s">
        <v>214</v>
      </c>
    </row>
    <row r="110" spans="14:28" x14ac:dyDescent="0.2">
      <c r="N110" t="s">
        <v>623</v>
      </c>
      <c r="Z110" t="s">
        <v>493</v>
      </c>
      <c r="AB110" t="s">
        <v>1055</v>
      </c>
    </row>
    <row r="111" spans="14:28" x14ac:dyDescent="0.2">
      <c r="N111" t="s">
        <v>624</v>
      </c>
      <c r="Z111" t="s">
        <v>494</v>
      </c>
      <c r="AB111" t="s">
        <v>1056</v>
      </c>
    </row>
    <row r="112" spans="14:28" x14ac:dyDescent="0.2">
      <c r="N112" t="s">
        <v>625</v>
      </c>
      <c r="Z112" t="s">
        <v>495</v>
      </c>
      <c r="AB112" t="s">
        <v>1057</v>
      </c>
    </row>
    <row r="113" spans="14:28" x14ac:dyDescent="0.2">
      <c r="N113" t="s">
        <v>626</v>
      </c>
      <c r="AB113" t="s">
        <v>1058</v>
      </c>
    </row>
    <row r="114" spans="14:28" x14ac:dyDescent="0.2">
      <c r="N114" t="s">
        <v>627</v>
      </c>
      <c r="AB114" t="s">
        <v>1059</v>
      </c>
    </row>
    <row r="115" spans="14:28" x14ac:dyDescent="0.2">
      <c r="N115" t="s">
        <v>628</v>
      </c>
      <c r="AB115" t="s">
        <v>1060</v>
      </c>
    </row>
    <row r="116" spans="14:28" x14ac:dyDescent="0.2">
      <c r="N116" t="s">
        <v>629</v>
      </c>
      <c r="AB116" t="s">
        <v>1061</v>
      </c>
    </row>
    <row r="117" spans="14:28" x14ac:dyDescent="0.2">
      <c r="N117" t="s">
        <v>630</v>
      </c>
      <c r="AB117" t="s">
        <v>1062</v>
      </c>
    </row>
    <row r="118" spans="14:28" x14ac:dyDescent="0.2">
      <c r="N118" t="s">
        <v>631</v>
      </c>
      <c r="AB118" t="s">
        <v>1063</v>
      </c>
    </row>
    <row r="119" spans="14:28" x14ac:dyDescent="0.2">
      <c r="N119" t="s">
        <v>632</v>
      </c>
      <c r="AB119" t="s">
        <v>1064</v>
      </c>
    </row>
    <row r="120" spans="14:28" x14ac:dyDescent="0.2">
      <c r="N120" t="s">
        <v>633</v>
      </c>
      <c r="AB120" t="s">
        <v>1065</v>
      </c>
    </row>
    <row r="121" spans="14:28" x14ac:dyDescent="0.2">
      <c r="N121" t="s">
        <v>634</v>
      </c>
      <c r="AB121" t="s">
        <v>1066</v>
      </c>
    </row>
    <row r="122" spans="14:28" x14ac:dyDescent="0.2">
      <c r="N122" t="s">
        <v>635</v>
      </c>
      <c r="AB122" t="s">
        <v>1067</v>
      </c>
    </row>
    <row r="123" spans="14:28" x14ac:dyDescent="0.2">
      <c r="N123" t="s">
        <v>636</v>
      </c>
      <c r="AB123" t="s">
        <v>1068</v>
      </c>
    </row>
    <row r="124" spans="14:28" x14ac:dyDescent="0.2">
      <c r="N124" t="s">
        <v>637</v>
      </c>
      <c r="AB124" t="s">
        <v>1069</v>
      </c>
    </row>
    <row r="125" spans="14:28" x14ac:dyDescent="0.2">
      <c r="N125" t="s">
        <v>638</v>
      </c>
      <c r="AB125" t="s">
        <v>1070</v>
      </c>
    </row>
    <row r="126" spans="14:28" x14ac:dyDescent="0.2">
      <c r="N126" t="s">
        <v>639</v>
      </c>
      <c r="AB126" t="s">
        <v>215</v>
      </c>
    </row>
    <row r="127" spans="14:28" x14ac:dyDescent="0.2">
      <c r="N127" t="s">
        <v>640</v>
      </c>
      <c r="AB127" t="s">
        <v>1071</v>
      </c>
    </row>
    <row r="128" spans="14:28" x14ac:dyDescent="0.2">
      <c r="N128" t="s">
        <v>641</v>
      </c>
      <c r="AB128" t="s">
        <v>1072</v>
      </c>
    </row>
    <row r="129" spans="14:28" x14ac:dyDescent="0.2">
      <c r="N129" t="s">
        <v>642</v>
      </c>
      <c r="AB129" t="s">
        <v>1073</v>
      </c>
    </row>
    <row r="130" spans="14:28" x14ac:dyDescent="0.2">
      <c r="N130" t="s">
        <v>643</v>
      </c>
      <c r="AB130" t="s">
        <v>1074</v>
      </c>
    </row>
    <row r="131" spans="14:28" x14ac:dyDescent="0.2">
      <c r="N131" t="s">
        <v>644</v>
      </c>
      <c r="AB131" t="s">
        <v>1075</v>
      </c>
    </row>
    <row r="132" spans="14:28" x14ac:dyDescent="0.2">
      <c r="N132" t="s">
        <v>645</v>
      </c>
      <c r="AB132" t="s">
        <v>1076</v>
      </c>
    </row>
    <row r="133" spans="14:28" x14ac:dyDescent="0.2">
      <c r="N133" t="s">
        <v>646</v>
      </c>
      <c r="AB133" t="s">
        <v>1077</v>
      </c>
    </row>
    <row r="134" spans="14:28" x14ac:dyDescent="0.2">
      <c r="N134" t="s">
        <v>647</v>
      </c>
      <c r="AB134" t="s">
        <v>1078</v>
      </c>
    </row>
    <row r="135" spans="14:28" x14ac:dyDescent="0.2">
      <c r="N135" t="s">
        <v>648</v>
      </c>
      <c r="AB135" t="s">
        <v>1079</v>
      </c>
    </row>
    <row r="136" spans="14:28" x14ac:dyDescent="0.2">
      <c r="N136" t="s">
        <v>649</v>
      </c>
      <c r="AB136" t="s">
        <v>1080</v>
      </c>
    </row>
    <row r="137" spans="14:28" x14ac:dyDescent="0.2">
      <c r="N137" t="s">
        <v>650</v>
      </c>
      <c r="AB137" t="s">
        <v>1081</v>
      </c>
    </row>
    <row r="138" spans="14:28" x14ac:dyDescent="0.2">
      <c r="N138" t="s">
        <v>651</v>
      </c>
      <c r="AB138" t="s">
        <v>1082</v>
      </c>
    </row>
    <row r="139" spans="14:28" x14ac:dyDescent="0.2">
      <c r="N139" t="s">
        <v>652</v>
      </c>
      <c r="AB139" t="s">
        <v>1083</v>
      </c>
    </row>
    <row r="140" spans="14:28" x14ac:dyDescent="0.2">
      <c r="AB140" t="s">
        <v>1084</v>
      </c>
    </row>
    <row r="141" spans="14:28" x14ac:dyDescent="0.2">
      <c r="AB141" t="s">
        <v>1085</v>
      </c>
    </row>
    <row r="142" spans="14:28" x14ac:dyDescent="0.2">
      <c r="AB142" t="s">
        <v>1086</v>
      </c>
    </row>
    <row r="143" spans="14:28" x14ac:dyDescent="0.2">
      <c r="AB143" t="s">
        <v>193</v>
      </c>
    </row>
    <row r="144" spans="14:28" x14ac:dyDescent="0.2">
      <c r="AB144" t="s">
        <v>194</v>
      </c>
    </row>
    <row r="145" spans="28:28" x14ac:dyDescent="0.2">
      <c r="AB145" t="s">
        <v>195</v>
      </c>
    </row>
    <row r="146" spans="28:28" x14ac:dyDescent="0.2">
      <c r="AB146" t="s">
        <v>196</v>
      </c>
    </row>
    <row r="147" spans="28:28" x14ac:dyDescent="0.2">
      <c r="AB147" t="s">
        <v>197</v>
      </c>
    </row>
    <row r="148" spans="28:28" x14ac:dyDescent="0.2">
      <c r="AB148" t="s">
        <v>198</v>
      </c>
    </row>
    <row r="149" spans="28:28" x14ac:dyDescent="0.2">
      <c r="AB149" t="s">
        <v>199</v>
      </c>
    </row>
    <row r="150" spans="28:28" x14ac:dyDescent="0.2">
      <c r="AB150" t="s">
        <v>200</v>
      </c>
    </row>
    <row r="151" spans="28:28" x14ac:dyDescent="0.2">
      <c r="AB151" t="s">
        <v>216</v>
      </c>
    </row>
    <row r="152" spans="28:28" x14ac:dyDescent="0.2">
      <c r="AB152" t="s">
        <v>496</v>
      </c>
    </row>
    <row r="153" spans="28:28" x14ac:dyDescent="0.2">
      <c r="AB153" t="s">
        <v>497</v>
      </c>
    </row>
    <row r="154" spans="28:28" x14ac:dyDescent="0.2">
      <c r="AB154" t="s">
        <v>468</v>
      </c>
    </row>
    <row r="155" spans="28:28" x14ac:dyDescent="0.2">
      <c r="AB155" t="s">
        <v>464</v>
      </c>
    </row>
    <row r="156" spans="28:28" x14ac:dyDescent="0.2">
      <c r="AB156" t="s">
        <v>465</v>
      </c>
    </row>
    <row r="157" spans="28:28" x14ac:dyDescent="0.2">
      <c r="AB157" t="s">
        <v>466</v>
      </c>
    </row>
    <row r="158" spans="28:28" x14ac:dyDescent="0.2">
      <c r="AB158" t="s">
        <v>467</v>
      </c>
    </row>
  </sheetData>
  <dataConsolidate/>
  <pageMargins left="0.7" right="0.7" top="0.78740157499999996" bottom="0.78740157499999996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1:M38"/>
  <sheetViews>
    <sheetView showZeros="0" zoomScale="75" workbookViewId="0">
      <selection activeCell="F47" sqref="F47"/>
    </sheetView>
  </sheetViews>
  <sheetFormatPr baseColWidth="10" defaultRowHeight="12.75" x14ac:dyDescent="0.2"/>
  <cols>
    <col min="1" max="1" width="1.85546875" customWidth="1"/>
    <col min="2" max="2" width="3.85546875" customWidth="1"/>
    <col min="3" max="3" width="5" customWidth="1"/>
    <col min="4" max="4" width="10.28515625" customWidth="1"/>
    <col min="5" max="5" width="7.85546875" bestFit="1" customWidth="1"/>
    <col min="6" max="6" width="10.7109375" customWidth="1"/>
    <col min="7" max="7" width="7.7109375" customWidth="1"/>
    <col min="8" max="8" width="6" customWidth="1"/>
    <col min="9" max="10" width="10.7109375" customWidth="1"/>
    <col min="11" max="11" width="10.5703125" customWidth="1"/>
    <col min="12" max="12" width="11.28515625" customWidth="1"/>
  </cols>
  <sheetData>
    <row r="1" spans="2:13" ht="8.25" customHeight="1" thickBot="1" x14ac:dyDescent="0.25"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</row>
    <row r="2" spans="2:13" ht="17.25" thickBot="1" x14ac:dyDescent="0.3">
      <c r="B2" s="213" t="s">
        <v>50</v>
      </c>
      <c r="C2" s="214"/>
      <c r="D2" s="215"/>
      <c r="E2" s="62" t="s">
        <v>35</v>
      </c>
      <c r="F2" s="63" t="str">
        <f>Eintrag!T$11</f>
        <v>Nething Nicoleta</v>
      </c>
      <c r="G2" s="63"/>
      <c r="H2" s="64"/>
      <c r="I2" s="65"/>
      <c r="J2" s="66" t="s">
        <v>36</v>
      </c>
      <c r="K2" s="67" t="str">
        <f>Eintrag!AD11</f>
        <v>April</v>
      </c>
      <c r="L2" s="68"/>
    </row>
    <row r="3" spans="2:13" ht="18.75" x14ac:dyDescent="0.2">
      <c r="B3" s="50"/>
      <c r="C3" s="51"/>
      <c r="D3" s="51"/>
      <c r="E3" s="51"/>
      <c r="F3" s="51"/>
      <c r="G3" s="51"/>
      <c r="H3" s="51"/>
      <c r="I3" s="52"/>
      <c r="J3" s="53" t="s">
        <v>51</v>
      </c>
      <c r="K3" s="56"/>
      <c r="L3" s="69">
        <f>Eintrag!AG11</f>
        <v>2018</v>
      </c>
    </row>
    <row r="4" spans="2:13" ht="13.5" customHeight="1" x14ac:dyDescent="0.2">
      <c r="B4" s="50"/>
      <c r="C4" s="51"/>
      <c r="D4" s="51"/>
      <c r="E4" s="51"/>
      <c r="F4" s="51"/>
      <c r="G4" s="51"/>
      <c r="H4" s="51"/>
      <c r="I4" s="52"/>
      <c r="J4" s="53"/>
      <c r="K4" s="54"/>
      <c r="L4" s="55"/>
    </row>
    <row r="5" spans="2:13" ht="33.75" customHeight="1" thickBot="1" x14ac:dyDescent="0.25">
      <c r="B5" s="22"/>
      <c r="C5" s="23"/>
      <c r="D5" s="24" t="s">
        <v>52</v>
      </c>
      <c r="E5" s="25" t="s">
        <v>53</v>
      </c>
      <c r="F5" s="26" t="s">
        <v>54</v>
      </c>
      <c r="G5" s="26" t="s">
        <v>55</v>
      </c>
      <c r="H5" s="26" t="s">
        <v>60</v>
      </c>
      <c r="I5" s="26" t="s">
        <v>58</v>
      </c>
      <c r="J5" s="26" t="s">
        <v>59</v>
      </c>
      <c r="K5" s="27" t="s">
        <v>56</v>
      </c>
      <c r="L5" s="28"/>
    </row>
    <row r="6" spans="2:13" ht="23.25" thickBot="1" x14ac:dyDescent="0.25">
      <c r="B6" s="57"/>
      <c r="C6" s="57"/>
      <c r="D6" s="58"/>
      <c r="E6" s="59"/>
      <c r="F6" s="60"/>
      <c r="G6" s="60"/>
      <c r="H6" s="59"/>
      <c r="I6" s="60"/>
      <c r="J6" s="61"/>
      <c r="K6" s="29">
        <f>Eintrag!B37</f>
        <v>4</v>
      </c>
      <c r="L6" s="30" t="s">
        <v>42</v>
      </c>
    </row>
    <row r="7" spans="2:13" ht="18.600000000000001" customHeight="1" x14ac:dyDescent="0.2">
      <c r="B7" s="31" t="str">
        <f>Eintrag!D1</f>
        <v>So</v>
      </c>
      <c r="C7" s="32" t="str">
        <f>Eintrag!D$2</f>
        <v>1.</v>
      </c>
      <c r="D7" s="33">
        <f>Eintrag!D$3</f>
        <v>0</v>
      </c>
      <c r="E7" s="34">
        <f>Eintrag!D$4</f>
        <v>0</v>
      </c>
      <c r="F7" s="70" t="str">
        <f>Eintrag!D$5</f>
        <v>-</v>
      </c>
      <c r="G7" s="70" t="str">
        <f>Eintrag!D$8</f>
        <v xml:space="preserve"> </v>
      </c>
      <c r="H7" s="70">
        <f>Eintrag!D$9</f>
        <v>0</v>
      </c>
      <c r="I7" s="70" t="str">
        <f>Eintrag!D$6</f>
        <v>Wochend</v>
      </c>
      <c r="J7" s="79">
        <f>Eintrag!D$7</f>
        <v>0</v>
      </c>
      <c r="K7" s="73">
        <f>Eintrag!D$33-Eintrag!D$34</f>
        <v>0</v>
      </c>
      <c r="L7" s="35"/>
    </row>
    <row r="8" spans="2:13" ht="18.600000000000001" customHeight="1" x14ac:dyDescent="0.2">
      <c r="B8" s="36" t="str">
        <f>Eintrag!E1</f>
        <v>Mo</v>
      </c>
      <c r="C8" s="37" t="str">
        <f>Eintrag!E$2</f>
        <v>2.</v>
      </c>
      <c r="D8" s="38">
        <f>Eintrag!E$3</f>
        <v>0</v>
      </c>
      <c r="E8" s="39" t="str">
        <f>Eintrag!E$4</f>
        <v>F</v>
      </c>
      <c r="F8" s="71" t="str">
        <f>Eintrag!E$5</f>
        <v>Feiertag</v>
      </c>
      <c r="G8" s="70" t="str">
        <f>Eintrag!E$8</f>
        <v>0:30</v>
      </c>
      <c r="H8" s="70">
        <f>Eintrag!E$9</f>
        <v>0</v>
      </c>
      <c r="I8" s="71" t="str">
        <f>Eintrag!E$6</f>
        <v/>
      </c>
      <c r="J8" s="80" t="e">
        <f>Eintrag!#REF!</f>
        <v>#REF!</v>
      </c>
      <c r="K8" s="73">
        <f>Eintrag!E$33-Eintrag!E$34</f>
        <v>0</v>
      </c>
      <c r="L8" s="35"/>
    </row>
    <row r="9" spans="2:13" ht="18.600000000000001" customHeight="1" x14ac:dyDescent="0.2">
      <c r="B9" s="36" t="str">
        <f>Eintrag!F1</f>
        <v>Di</v>
      </c>
      <c r="C9" s="37" t="str">
        <f>Eintrag!F$2</f>
        <v>3.</v>
      </c>
      <c r="D9" s="38">
        <f>Eintrag!F$3</f>
        <v>0</v>
      </c>
      <c r="E9" s="39" t="str">
        <f>Eintrag!F$4</f>
        <v>U</v>
      </c>
      <c r="F9" s="71" t="str">
        <f>Eintrag!F$5</f>
        <v>Urlaub</v>
      </c>
      <c r="G9" s="70" t="str">
        <f>Eintrag!F$8</f>
        <v>0:45</v>
      </c>
      <c r="H9" s="70">
        <f>Eintrag!F$9</f>
        <v>0</v>
      </c>
      <c r="I9" s="71" t="str">
        <f>Eintrag!F$6</f>
        <v>6:00</v>
      </c>
      <c r="J9" s="80">
        <f>Eintrag!F$7</f>
        <v>0</v>
      </c>
      <c r="K9" s="73">
        <f>Eintrag!F$33-Eintrag!F$34</f>
        <v>0</v>
      </c>
      <c r="L9" s="35"/>
    </row>
    <row r="10" spans="2:13" ht="18.600000000000001" customHeight="1" x14ac:dyDescent="0.2">
      <c r="B10" s="36" t="str">
        <f>Eintrag!G1</f>
        <v>Mi</v>
      </c>
      <c r="C10" s="37" t="str">
        <f>Eintrag!G$2</f>
        <v>4.</v>
      </c>
      <c r="D10" s="38">
        <f>Eintrag!G$3</f>
        <v>0</v>
      </c>
      <c r="E10" s="39" t="str">
        <f>Eintrag!G$4</f>
        <v>U</v>
      </c>
      <c r="F10" s="71" t="str">
        <f>Eintrag!G$5</f>
        <v>Urlaub</v>
      </c>
      <c r="G10" s="70" t="str">
        <f>Eintrag!G$8</f>
        <v>0:30</v>
      </c>
      <c r="H10" s="70">
        <f>Eintrag!G$9</f>
        <v>0</v>
      </c>
      <c r="I10" s="71" t="str">
        <f>Eintrag!G$6</f>
        <v>6:00</v>
      </c>
      <c r="J10" s="80">
        <f>Eintrag!G$7</f>
        <v>0</v>
      </c>
      <c r="K10" s="73">
        <f>Eintrag!G$33-Eintrag!G$34</f>
        <v>0</v>
      </c>
      <c r="L10" s="35"/>
      <c r="M10" s="49"/>
    </row>
    <row r="11" spans="2:13" ht="18.600000000000001" customHeight="1" x14ac:dyDescent="0.2">
      <c r="B11" s="36" t="str">
        <f>Eintrag!H1</f>
        <v>Do</v>
      </c>
      <c r="C11" s="37" t="str">
        <f>Eintrag!H$2</f>
        <v>5.</v>
      </c>
      <c r="D11" s="38">
        <f>Eintrag!H$3</f>
        <v>0</v>
      </c>
      <c r="E11" s="39" t="str">
        <f>Eintrag!H$4</f>
        <v>U</v>
      </c>
      <c r="F11" s="71" t="str">
        <f>Eintrag!H$5</f>
        <v>Urlaub</v>
      </c>
      <c r="G11" s="70" t="str">
        <f>Eintrag!H$8</f>
        <v>0:30</v>
      </c>
      <c r="H11" s="70">
        <f>Eintrag!H$9</f>
        <v>0</v>
      </c>
      <c r="I11" s="71" t="str">
        <f>Eintrag!H$6</f>
        <v>6:00</v>
      </c>
      <c r="J11" s="80">
        <f>Eintrag!H$7</f>
        <v>0</v>
      </c>
      <c r="K11" s="73">
        <f>Eintrag!H$33-Eintrag!H$34</f>
        <v>0</v>
      </c>
      <c r="L11" s="40"/>
    </row>
    <row r="12" spans="2:13" ht="18.600000000000001" customHeight="1" x14ac:dyDescent="0.2">
      <c r="B12" s="36" t="str">
        <f>Eintrag!I1</f>
        <v>Fr</v>
      </c>
      <c r="C12" s="37" t="str">
        <f>Eintrag!I$2</f>
        <v>6.</v>
      </c>
      <c r="D12" s="38">
        <f>Eintrag!I$3</f>
        <v>0</v>
      </c>
      <c r="E12" s="39" t="str">
        <f>Eintrag!I$4</f>
        <v>U</v>
      </c>
      <c r="F12" s="71" t="str">
        <f>Eintrag!I$5</f>
        <v>Urlaub</v>
      </c>
      <c r="G12" s="70" t="str">
        <f>Eintrag!I$8</f>
        <v>0:30</v>
      </c>
      <c r="H12" s="70">
        <f>Eintrag!I$9</f>
        <v>0</v>
      </c>
      <c r="I12" s="71" t="str">
        <f>Eintrag!I$6</f>
        <v>6:00</v>
      </c>
      <c r="J12" s="80">
        <f>Eintrag!I$7</f>
        <v>0</v>
      </c>
      <c r="K12" s="73">
        <f>Eintrag!I$33-Eintrag!I$34</f>
        <v>0</v>
      </c>
      <c r="L12" s="35"/>
    </row>
    <row r="13" spans="2:13" ht="18.600000000000001" customHeight="1" x14ac:dyDescent="0.2">
      <c r="B13" s="36" t="str">
        <f>Eintrag!J1</f>
        <v>Sa</v>
      </c>
      <c r="C13" s="37" t="str">
        <f>Eintrag!J$2</f>
        <v>7.</v>
      </c>
      <c r="D13" s="38">
        <f>Eintrag!J$3</f>
        <v>0</v>
      </c>
      <c r="E13" s="39">
        <f>Eintrag!J$4</f>
        <v>0</v>
      </c>
      <c r="F13" s="71" t="str">
        <f>Eintrag!J$5</f>
        <v>-</v>
      </c>
      <c r="G13" s="70" t="str">
        <f>Eintrag!J$8</f>
        <v xml:space="preserve"> </v>
      </c>
      <c r="H13" s="70">
        <f>Eintrag!J$9</f>
        <v>0</v>
      </c>
      <c r="I13" s="71" t="str">
        <f>Eintrag!J$6</f>
        <v>Wochend</v>
      </c>
      <c r="J13" s="80">
        <f>Eintrag!J$7</f>
        <v>0</v>
      </c>
      <c r="K13" s="73">
        <f>Eintrag!J$33-Eintrag!J$34</f>
        <v>0</v>
      </c>
      <c r="L13" s="35"/>
    </row>
    <row r="14" spans="2:13" ht="18.600000000000001" customHeight="1" x14ac:dyDescent="0.2">
      <c r="B14" s="36" t="str">
        <f>Eintrag!K1</f>
        <v>So</v>
      </c>
      <c r="C14" s="37" t="str">
        <f>Eintrag!K$2</f>
        <v>8.</v>
      </c>
      <c r="D14" s="38">
        <f>Eintrag!K$3</f>
        <v>0</v>
      </c>
      <c r="E14" s="39">
        <f>Eintrag!K$4</f>
        <v>0</v>
      </c>
      <c r="F14" s="71" t="str">
        <f>Eintrag!K$5</f>
        <v>-</v>
      </c>
      <c r="G14" s="70" t="str">
        <f>Eintrag!K$8</f>
        <v xml:space="preserve"> </v>
      </c>
      <c r="H14" s="70">
        <f>Eintrag!K$9</f>
        <v>0</v>
      </c>
      <c r="I14" s="71" t="str">
        <f>Eintrag!K$6</f>
        <v>Wochend</v>
      </c>
      <c r="J14" s="80">
        <f>Eintrag!K$7</f>
        <v>0</v>
      </c>
      <c r="K14" s="73">
        <f>Eintrag!K$33-Eintrag!K$34</f>
        <v>0</v>
      </c>
      <c r="L14" s="35"/>
    </row>
    <row r="15" spans="2:13" ht="18.600000000000001" customHeight="1" x14ac:dyDescent="0.2">
      <c r="B15" s="36" t="str">
        <f>Eintrag!L1</f>
        <v>Mo</v>
      </c>
      <c r="C15" s="37" t="str">
        <f>Eintrag!L$2</f>
        <v>9.</v>
      </c>
      <c r="D15" s="38">
        <f>Eintrag!L$3</f>
        <v>0.33333333333333331</v>
      </c>
      <c r="E15" s="39">
        <f>Eintrag!L$4</f>
        <v>0.625</v>
      </c>
      <c r="F15" s="71">
        <f>Eintrag!L$5</f>
        <v>0.29166666666666669</v>
      </c>
      <c r="G15" s="70" t="str">
        <f>Eintrag!L$8</f>
        <v>0:30</v>
      </c>
      <c r="H15" s="70">
        <f>Eintrag!L$9</f>
        <v>0</v>
      </c>
      <c r="I15" s="71">
        <f>Eintrag!L$6</f>
        <v>0.27083333333333337</v>
      </c>
      <c r="J15" s="80">
        <f>Eintrag!L$7</f>
        <v>6.5000000000000009</v>
      </c>
      <c r="K15" s="73">
        <f>Eintrag!L$33-Eintrag!L$34</f>
        <v>0.5</v>
      </c>
      <c r="L15" s="35"/>
    </row>
    <row r="16" spans="2:13" ht="18.600000000000001" customHeight="1" x14ac:dyDescent="0.2">
      <c r="B16" s="36" t="str">
        <f>Eintrag!M1</f>
        <v>Di</v>
      </c>
      <c r="C16" s="37" t="str">
        <f>Eintrag!M$2</f>
        <v>10.</v>
      </c>
      <c r="D16" s="38">
        <f>Eintrag!M$3</f>
        <v>0.33333333333333331</v>
      </c>
      <c r="E16" s="39">
        <f>Eintrag!M$4</f>
        <v>0.64583333333333337</v>
      </c>
      <c r="F16" s="71">
        <f>Eintrag!M$5</f>
        <v>0.31250000000000006</v>
      </c>
      <c r="G16" s="70" t="str">
        <f>Eintrag!M$8</f>
        <v>0:30</v>
      </c>
      <c r="H16" s="70">
        <f>Eintrag!M$9</f>
        <v>0</v>
      </c>
      <c r="I16" s="71">
        <f>Eintrag!M$6</f>
        <v>0.29166666666666674</v>
      </c>
      <c r="J16" s="80">
        <f>Eintrag!M$7</f>
        <v>7.0000000000000018</v>
      </c>
      <c r="K16" s="73">
        <f>Eintrag!M$33-Eintrag!M$34</f>
        <v>1</v>
      </c>
      <c r="L16" s="41"/>
    </row>
    <row r="17" spans="2:12" ht="18.600000000000001" customHeight="1" x14ac:dyDescent="0.2">
      <c r="B17" s="36" t="str">
        <f>Eintrag!N1</f>
        <v>Mi</v>
      </c>
      <c r="C17" s="37" t="str">
        <f>Eintrag!N$2</f>
        <v>11.</v>
      </c>
      <c r="D17" s="38">
        <f>Eintrag!N$3</f>
        <v>0.32291666666666669</v>
      </c>
      <c r="E17" s="39">
        <f>Eintrag!N$4</f>
        <v>0.61458333333333337</v>
      </c>
      <c r="F17" s="71">
        <f>Eintrag!N$5</f>
        <v>0.29166666666666669</v>
      </c>
      <c r="G17" s="70" t="str">
        <f>Eintrag!N$8</f>
        <v>0:30</v>
      </c>
      <c r="H17" s="70">
        <f>Eintrag!N$9</f>
        <v>0</v>
      </c>
      <c r="I17" s="71">
        <f>Eintrag!N$6</f>
        <v>0.27083333333333337</v>
      </c>
      <c r="J17" s="80">
        <f>Eintrag!E$7</f>
        <v>0</v>
      </c>
      <c r="K17" s="73">
        <f>Eintrag!N$33-Eintrag!N$34</f>
        <v>0.5</v>
      </c>
      <c r="L17" s="41"/>
    </row>
    <row r="18" spans="2:12" ht="18.600000000000001" customHeight="1" x14ac:dyDescent="0.2">
      <c r="B18" s="36" t="str">
        <f>Eintrag!O1</f>
        <v>Do</v>
      </c>
      <c r="C18" s="37" t="str">
        <f>Eintrag!O$2</f>
        <v>12.</v>
      </c>
      <c r="D18" s="38">
        <f>Eintrag!O$3</f>
        <v>0.34375</v>
      </c>
      <c r="E18" s="39">
        <f>Eintrag!O$4</f>
        <v>0.64583333333333337</v>
      </c>
      <c r="F18" s="71">
        <f>Eintrag!O$5</f>
        <v>0.30208333333333337</v>
      </c>
      <c r="G18" s="70" t="str">
        <f>Eintrag!O$8</f>
        <v>0:30</v>
      </c>
      <c r="H18" s="70">
        <f>Eintrag!O$9</f>
        <v>2.0833333333333332E-2</v>
      </c>
      <c r="I18" s="71">
        <f>Eintrag!O$6</f>
        <v>0.26041666666666674</v>
      </c>
      <c r="J18" s="80">
        <f>Eintrag!O$7</f>
        <v>6.2500000000000018</v>
      </c>
      <c r="K18" s="73">
        <f>Eintrag!O$33-Eintrag!O$34</f>
        <v>0.25</v>
      </c>
      <c r="L18" s="41"/>
    </row>
    <row r="19" spans="2:12" ht="18.600000000000001" customHeight="1" x14ac:dyDescent="0.2">
      <c r="B19" s="36" t="str">
        <f>Eintrag!P1</f>
        <v>Fr</v>
      </c>
      <c r="C19" s="37" t="str">
        <f>Eintrag!P$2</f>
        <v>13.</v>
      </c>
      <c r="D19" s="38">
        <f>Eintrag!P$3</f>
        <v>0.33333333333333331</v>
      </c>
      <c r="E19" s="39">
        <f>Eintrag!P$4</f>
        <v>0.61458333333333337</v>
      </c>
      <c r="F19" s="71">
        <f>Eintrag!P$5</f>
        <v>0.28125000000000006</v>
      </c>
      <c r="G19" s="70" t="str">
        <f>Eintrag!P$8</f>
        <v>0:30</v>
      </c>
      <c r="H19" s="70">
        <f>Eintrag!P$9</f>
        <v>0</v>
      </c>
      <c r="I19" s="71">
        <f>Eintrag!P$6</f>
        <v>0.26041666666666674</v>
      </c>
      <c r="J19" s="80">
        <f>Eintrag!P$7</f>
        <v>6.2500000000000018</v>
      </c>
      <c r="K19" s="73">
        <f>Eintrag!P$33-Eintrag!P$34</f>
        <v>0.25</v>
      </c>
      <c r="L19" s="41"/>
    </row>
    <row r="20" spans="2:12" ht="18.600000000000001" customHeight="1" x14ac:dyDescent="0.2">
      <c r="B20" s="36" t="str">
        <f>Eintrag!Q1</f>
        <v>Sa</v>
      </c>
      <c r="C20" s="37" t="str">
        <f>Eintrag!Q$2</f>
        <v>14.</v>
      </c>
      <c r="D20" s="38">
        <f>Eintrag!Q$3</f>
        <v>0</v>
      </c>
      <c r="E20" s="39">
        <f>Eintrag!Q$4</f>
        <v>0</v>
      </c>
      <c r="F20" s="71" t="str">
        <f>Eintrag!Q$5</f>
        <v>-</v>
      </c>
      <c r="G20" s="70" t="str">
        <f>Eintrag!Q$8</f>
        <v xml:space="preserve"> </v>
      </c>
      <c r="H20" s="70">
        <f>Eintrag!Q$9</f>
        <v>1.0416666666666666E-2</v>
      </c>
      <c r="I20" s="71" t="str">
        <f>Eintrag!Q$6</f>
        <v>Wochend</v>
      </c>
      <c r="J20" s="80">
        <f>Eintrag!Q$7</f>
        <v>0</v>
      </c>
      <c r="K20" s="73">
        <f>Eintrag!Q$33-Eintrag!Q$34</f>
        <v>0</v>
      </c>
      <c r="L20" s="41"/>
    </row>
    <row r="21" spans="2:12" ht="18.600000000000001" customHeight="1" x14ac:dyDescent="0.2">
      <c r="B21" s="36" t="str">
        <f>Eintrag!R1</f>
        <v>So</v>
      </c>
      <c r="C21" s="37" t="str">
        <f>Eintrag!R$2</f>
        <v>15.</v>
      </c>
      <c r="D21" s="38">
        <f>Eintrag!R$3</f>
        <v>0</v>
      </c>
      <c r="E21" s="39">
        <f>Eintrag!R$4</f>
        <v>0</v>
      </c>
      <c r="F21" s="71" t="str">
        <f>Eintrag!R$5</f>
        <v>-</v>
      </c>
      <c r="G21" s="70" t="str">
        <f>Eintrag!R$8</f>
        <v xml:space="preserve"> </v>
      </c>
      <c r="H21" s="70">
        <f>Eintrag!R$9</f>
        <v>0</v>
      </c>
      <c r="I21" s="71" t="str">
        <f>Eintrag!R$6</f>
        <v>Wochend</v>
      </c>
      <c r="J21" s="80">
        <f>Eintrag!R$7</f>
        <v>0</v>
      </c>
      <c r="K21" s="73">
        <f>Eintrag!R$33-Eintrag!R$34</f>
        <v>0</v>
      </c>
      <c r="L21" s="41"/>
    </row>
    <row r="22" spans="2:12" ht="18.600000000000001" customHeight="1" x14ac:dyDescent="0.2">
      <c r="B22" s="36" t="str">
        <f>Eintrag!S1</f>
        <v>Mo</v>
      </c>
      <c r="C22" s="37" t="str">
        <f>Eintrag!S$2</f>
        <v>16.</v>
      </c>
      <c r="D22" s="38">
        <f>Eintrag!S$3</f>
        <v>0.33333333333333331</v>
      </c>
      <c r="E22" s="39">
        <f>Eintrag!S$4</f>
        <v>0.60416666666666663</v>
      </c>
      <c r="F22" s="71">
        <f>Eintrag!S$5</f>
        <v>0.27083333333333331</v>
      </c>
      <c r="G22" s="70" t="str">
        <f>Eintrag!S$8</f>
        <v>0:30</v>
      </c>
      <c r="H22" s="70">
        <f>Eintrag!S$9</f>
        <v>0</v>
      </c>
      <c r="I22" s="71">
        <f>Eintrag!S$6</f>
        <v>0.24999999999999997</v>
      </c>
      <c r="J22" s="80">
        <f>Eintrag!S$7</f>
        <v>5.9999999999999991</v>
      </c>
      <c r="K22" s="73">
        <f>Eintrag!S$33-Eintrag!S$34</f>
        <v>0</v>
      </c>
      <c r="L22" s="41"/>
    </row>
    <row r="23" spans="2:12" ht="18.600000000000001" customHeight="1" x14ac:dyDescent="0.2">
      <c r="B23" s="36" t="str">
        <f>Eintrag!T1</f>
        <v>Di</v>
      </c>
      <c r="C23" s="37" t="str">
        <f>Eintrag!T$2</f>
        <v>17.</v>
      </c>
      <c r="D23" s="38">
        <f>Eintrag!T$3</f>
        <v>0.33333333333333331</v>
      </c>
      <c r="E23" s="39">
        <f>Eintrag!T$4</f>
        <v>0</v>
      </c>
      <c r="F23" s="71" t="str">
        <f>Eintrag!T$5</f>
        <v>-</v>
      </c>
      <c r="G23" s="70" t="str">
        <f>Eintrag!T$8</f>
        <v>0:30</v>
      </c>
      <c r="H23" s="70">
        <f>Eintrag!T$9</f>
        <v>0</v>
      </c>
      <c r="I23" s="71" t="str">
        <f>Eintrag!T$6</f>
        <v>-</v>
      </c>
      <c r="J23" s="80">
        <f>Eintrag!T$7</f>
        <v>0</v>
      </c>
      <c r="K23" s="73">
        <f>Eintrag!T$33-Eintrag!T$34</f>
        <v>0</v>
      </c>
      <c r="L23" s="41"/>
    </row>
    <row r="24" spans="2:12" ht="18.600000000000001" customHeight="1" x14ac:dyDescent="0.2">
      <c r="B24" s="36" t="str">
        <f>Eintrag!U1</f>
        <v>Mi</v>
      </c>
      <c r="C24" s="37" t="str">
        <f>Eintrag!U$2</f>
        <v>18.</v>
      </c>
      <c r="D24" s="38">
        <f>Eintrag!U$3</f>
        <v>0</v>
      </c>
      <c r="E24" s="39">
        <f>Eintrag!U$4</f>
        <v>0</v>
      </c>
      <c r="F24" s="71" t="str">
        <f>Eintrag!U$5</f>
        <v>-</v>
      </c>
      <c r="G24" s="70" t="str">
        <f>Eintrag!U$8</f>
        <v>0:30</v>
      </c>
      <c r="H24" s="70">
        <f>Eintrag!U$9</f>
        <v>0</v>
      </c>
      <c r="I24" s="71" t="str">
        <f>Eintrag!U$6</f>
        <v>-</v>
      </c>
      <c r="J24" s="80">
        <f>Eintrag!U$7</f>
        <v>0</v>
      </c>
      <c r="K24" s="73">
        <f>Eintrag!U$33-Eintrag!U$34</f>
        <v>0</v>
      </c>
      <c r="L24" s="41"/>
    </row>
    <row r="25" spans="2:12" ht="18.600000000000001" customHeight="1" x14ac:dyDescent="0.2">
      <c r="B25" s="36" t="str">
        <f>Eintrag!V1</f>
        <v>Do</v>
      </c>
      <c r="C25" s="37" t="str">
        <f>Eintrag!V$2</f>
        <v>19.</v>
      </c>
      <c r="D25" s="38">
        <f>Eintrag!V$3</f>
        <v>0</v>
      </c>
      <c r="E25" s="39">
        <f>Eintrag!V$4</f>
        <v>0</v>
      </c>
      <c r="F25" s="71" t="str">
        <f>Eintrag!V$5</f>
        <v>-</v>
      </c>
      <c r="G25" s="70" t="str">
        <f>Eintrag!V$8</f>
        <v>0:30</v>
      </c>
      <c r="H25" s="70">
        <f>Eintrag!V$9</f>
        <v>0</v>
      </c>
      <c r="I25" s="71" t="str">
        <f>Eintrag!V$6</f>
        <v>-</v>
      </c>
      <c r="J25" s="80">
        <f>Eintrag!V$7</f>
        <v>0</v>
      </c>
      <c r="K25" s="73">
        <f>Eintrag!V$33-Eintrag!V$34</f>
        <v>0</v>
      </c>
      <c r="L25" s="41"/>
    </row>
    <row r="26" spans="2:12" ht="18.600000000000001" customHeight="1" x14ac:dyDescent="0.2">
      <c r="B26" s="36" t="str">
        <f>Eintrag!W1</f>
        <v>Fr</v>
      </c>
      <c r="C26" s="37" t="str">
        <f>Eintrag!W$2</f>
        <v>20.</v>
      </c>
      <c r="D26" s="38">
        <f>Eintrag!W$3</f>
        <v>0</v>
      </c>
      <c r="E26" s="39">
        <f>Eintrag!W$4</f>
        <v>0</v>
      </c>
      <c r="F26" s="71" t="str">
        <f>Eintrag!W$5</f>
        <v>-</v>
      </c>
      <c r="G26" s="70" t="str">
        <f>Eintrag!W$8</f>
        <v>0:30</v>
      </c>
      <c r="H26" s="70">
        <f>Eintrag!W$9</f>
        <v>0</v>
      </c>
      <c r="I26" s="71" t="str">
        <f>Eintrag!W$6</f>
        <v>-</v>
      </c>
      <c r="J26" s="80">
        <f>Eintrag!W$7</f>
        <v>0</v>
      </c>
      <c r="K26" s="73">
        <f>Eintrag!W$33-Eintrag!W$34</f>
        <v>0</v>
      </c>
      <c r="L26" s="41"/>
    </row>
    <row r="27" spans="2:12" ht="18.600000000000001" customHeight="1" x14ac:dyDescent="0.2">
      <c r="B27" s="36" t="str">
        <f>Eintrag!X1</f>
        <v>Sa</v>
      </c>
      <c r="C27" s="37" t="str">
        <f>Eintrag!X$2</f>
        <v>21.</v>
      </c>
      <c r="D27" s="38">
        <f>Eintrag!X$3</f>
        <v>0</v>
      </c>
      <c r="E27" s="39">
        <f>Eintrag!X$4</f>
        <v>0</v>
      </c>
      <c r="F27" s="71" t="str">
        <f>Eintrag!X$5</f>
        <v>-</v>
      </c>
      <c r="G27" s="70" t="str">
        <f>Eintrag!X$8</f>
        <v xml:space="preserve"> </v>
      </c>
      <c r="H27" s="70">
        <f>Eintrag!X$9</f>
        <v>0</v>
      </c>
      <c r="I27" s="71" t="str">
        <f>Eintrag!X$6</f>
        <v>Wochend</v>
      </c>
      <c r="J27" s="80">
        <f>Eintrag!X$7</f>
        <v>0</v>
      </c>
      <c r="K27" s="73">
        <f>Eintrag!X$33-Eintrag!X$34</f>
        <v>0</v>
      </c>
      <c r="L27" s="41"/>
    </row>
    <row r="28" spans="2:12" ht="18.600000000000001" customHeight="1" x14ac:dyDescent="0.2">
      <c r="B28" s="36" t="str">
        <f>Eintrag!Y1</f>
        <v>So</v>
      </c>
      <c r="C28" s="37" t="str">
        <f>Eintrag!Y$2</f>
        <v>22.</v>
      </c>
      <c r="D28" s="38">
        <f>Eintrag!Y$3</f>
        <v>0</v>
      </c>
      <c r="E28" s="39">
        <f>Eintrag!Y$4</f>
        <v>0</v>
      </c>
      <c r="F28" s="71" t="str">
        <f>Eintrag!Y$5</f>
        <v>-</v>
      </c>
      <c r="G28" s="70" t="str">
        <f>Eintrag!Y$8</f>
        <v xml:space="preserve"> </v>
      </c>
      <c r="H28" s="70">
        <f>Eintrag!Y$9</f>
        <v>0</v>
      </c>
      <c r="I28" s="71" t="str">
        <f>Eintrag!Y$6</f>
        <v>Wochend</v>
      </c>
      <c r="J28" s="80">
        <f>Eintrag!Y$7</f>
        <v>0</v>
      </c>
      <c r="K28" s="73">
        <f>Eintrag!Y$33-Eintrag!Y$34</f>
        <v>0</v>
      </c>
      <c r="L28" s="41"/>
    </row>
    <row r="29" spans="2:12" ht="18.600000000000001" customHeight="1" x14ac:dyDescent="0.2">
      <c r="B29" s="36" t="str">
        <f>Eintrag!Z1</f>
        <v>Mo</v>
      </c>
      <c r="C29" s="37" t="str">
        <f>Eintrag!Z$2</f>
        <v>23.</v>
      </c>
      <c r="D29" s="38">
        <f>Eintrag!Z$3</f>
        <v>0</v>
      </c>
      <c r="E29" s="39">
        <f>Eintrag!Z$4</f>
        <v>0</v>
      </c>
      <c r="F29" s="71" t="str">
        <f>Eintrag!Z$5</f>
        <v>-</v>
      </c>
      <c r="G29" s="70" t="str">
        <f>Eintrag!Z$8</f>
        <v>0:30</v>
      </c>
      <c r="H29" s="70">
        <f>Eintrag!Z$9</f>
        <v>0</v>
      </c>
      <c r="I29" s="71" t="str">
        <f>Eintrag!Z$6</f>
        <v>-</v>
      </c>
      <c r="J29" s="80">
        <f>Eintrag!Z$7</f>
        <v>0</v>
      </c>
      <c r="K29" s="73">
        <f>Eintrag!Z$33-Eintrag!Z$34</f>
        <v>0</v>
      </c>
      <c r="L29" s="41"/>
    </row>
    <row r="30" spans="2:12" ht="18.600000000000001" customHeight="1" x14ac:dyDescent="0.2">
      <c r="B30" s="36" t="str">
        <f>Eintrag!AA1</f>
        <v>Di</v>
      </c>
      <c r="C30" s="37" t="str">
        <f>Eintrag!AA$2</f>
        <v>24.</v>
      </c>
      <c r="D30" s="38">
        <f>Eintrag!AA$3</f>
        <v>0</v>
      </c>
      <c r="E30" s="39">
        <f>Eintrag!AA$4</f>
        <v>0</v>
      </c>
      <c r="F30" s="71" t="str">
        <f>Eintrag!AA$5</f>
        <v>-</v>
      </c>
      <c r="G30" s="70" t="str">
        <f>Eintrag!AA$8</f>
        <v>0:30</v>
      </c>
      <c r="H30" s="70">
        <f>Eintrag!AA$9</f>
        <v>0</v>
      </c>
      <c r="I30" s="71" t="str">
        <f>Eintrag!AA$6</f>
        <v>-</v>
      </c>
      <c r="J30" s="80">
        <f>Eintrag!AA$7</f>
        <v>0</v>
      </c>
      <c r="K30" s="73">
        <f>Eintrag!AA$33-Eintrag!AA$34</f>
        <v>0</v>
      </c>
      <c r="L30" s="41"/>
    </row>
    <row r="31" spans="2:12" ht="18.600000000000001" customHeight="1" x14ac:dyDescent="0.2">
      <c r="B31" s="36" t="str">
        <f>Eintrag!AB1</f>
        <v>Mi</v>
      </c>
      <c r="C31" s="37" t="str">
        <f>Eintrag!AB$2</f>
        <v>25.</v>
      </c>
      <c r="D31" s="38">
        <f>Eintrag!AB$3</f>
        <v>0</v>
      </c>
      <c r="E31" s="39">
        <f>Eintrag!AB$4</f>
        <v>0</v>
      </c>
      <c r="F31" s="71" t="str">
        <f>Eintrag!AB$5</f>
        <v>-</v>
      </c>
      <c r="G31" s="70" t="str">
        <f>Eintrag!AB$8</f>
        <v>0:30</v>
      </c>
      <c r="H31" s="70">
        <f>Eintrag!AB$9</f>
        <v>0</v>
      </c>
      <c r="I31" s="71" t="str">
        <f>Eintrag!AB$6</f>
        <v>-</v>
      </c>
      <c r="J31" s="80">
        <f>Eintrag!AB$7</f>
        <v>0</v>
      </c>
      <c r="K31" s="73">
        <f>Eintrag!AB$33-Eintrag!AB$34</f>
        <v>0</v>
      </c>
      <c r="L31" s="41"/>
    </row>
    <row r="32" spans="2:12" ht="18.600000000000001" customHeight="1" x14ac:dyDescent="0.2">
      <c r="B32" s="36" t="str">
        <f>Eintrag!AC1</f>
        <v>Do</v>
      </c>
      <c r="C32" s="37" t="str">
        <f>Eintrag!AC$2</f>
        <v>26.</v>
      </c>
      <c r="D32" s="38">
        <f>Eintrag!AC$3</f>
        <v>0</v>
      </c>
      <c r="E32" s="39">
        <f>Eintrag!AC$4</f>
        <v>0</v>
      </c>
      <c r="F32" s="71" t="str">
        <f>Eintrag!AC$5</f>
        <v>-</v>
      </c>
      <c r="G32" s="70" t="str">
        <f>Eintrag!AC$8</f>
        <v>0:30</v>
      </c>
      <c r="H32" s="70">
        <f>Eintrag!AC$9</f>
        <v>0</v>
      </c>
      <c r="I32" s="71" t="str">
        <f>Eintrag!AC$6</f>
        <v>-</v>
      </c>
      <c r="J32" s="80">
        <f>Eintrag!AC$7</f>
        <v>0</v>
      </c>
      <c r="K32" s="73">
        <f>Eintrag!AC$33-Eintrag!AC$34</f>
        <v>0</v>
      </c>
      <c r="L32" s="41"/>
    </row>
    <row r="33" spans="2:12" ht="18.600000000000001" customHeight="1" x14ac:dyDescent="0.2">
      <c r="B33" s="36" t="str">
        <f>Eintrag!AD1</f>
        <v>Fr</v>
      </c>
      <c r="C33" s="37" t="str">
        <f>Eintrag!AD$2</f>
        <v>27.</v>
      </c>
      <c r="D33" s="38">
        <f>Eintrag!AD$3</f>
        <v>0</v>
      </c>
      <c r="E33" s="39">
        <f>Eintrag!AD$4</f>
        <v>0</v>
      </c>
      <c r="F33" s="71" t="str">
        <f>Eintrag!AD$5</f>
        <v>-</v>
      </c>
      <c r="G33" s="70" t="str">
        <f>Eintrag!AD$8</f>
        <v>0:30</v>
      </c>
      <c r="H33" s="70">
        <f>Eintrag!AD$9</f>
        <v>0</v>
      </c>
      <c r="I33" s="71" t="str">
        <f>Eintrag!AD$6</f>
        <v>-</v>
      </c>
      <c r="J33" s="80">
        <f>Eintrag!AD$7</f>
        <v>0</v>
      </c>
      <c r="K33" s="73">
        <f>Eintrag!AD$33-Eintrag!AD$34</f>
        <v>0</v>
      </c>
      <c r="L33" s="41"/>
    </row>
    <row r="34" spans="2:12" ht="18.600000000000001" customHeight="1" x14ac:dyDescent="0.2">
      <c r="B34" s="36" t="str">
        <f>Eintrag!AE1</f>
        <v>Sa</v>
      </c>
      <c r="C34" s="37" t="str">
        <f>Eintrag!AE$2</f>
        <v>28.</v>
      </c>
      <c r="D34" s="38">
        <f>Eintrag!AE$3</f>
        <v>0</v>
      </c>
      <c r="E34" s="39">
        <f>Eintrag!AE$4</f>
        <v>0</v>
      </c>
      <c r="F34" s="71" t="str">
        <f>Eintrag!AE$5</f>
        <v>-</v>
      </c>
      <c r="G34" s="70" t="str">
        <f>Eintrag!AE$8</f>
        <v xml:space="preserve"> </v>
      </c>
      <c r="H34" s="70">
        <f>Eintrag!AE$9</f>
        <v>0</v>
      </c>
      <c r="I34" s="71" t="str">
        <f>Eintrag!AE$6</f>
        <v>Wochend</v>
      </c>
      <c r="J34" s="80">
        <f>Eintrag!AE$7</f>
        <v>0</v>
      </c>
      <c r="K34" s="73">
        <f>Eintrag!AE$33-Eintrag!AE$34</f>
        <v>0</v>
      </c>
      <c r="L34" s="41"/>
    </row>
    <row r="35" spans="2:12" ht="18.600000000000001" customHeight="1" x14ac:dyDescent="0.2">
      <c r="B35" s="38" t="str">
        <f>Eintrag!AF1</f>
        <v>So</v>
      </c>
      <c r="C35" s="37" t="str">
        <f>Eintrag!AF$2</f>
        <v>29.</v>
      </c>
      <c r="D35" s="38">
        <f>Eintrag!AF$3</f>
        <v>0</v>
      </c>
      <c r="E35" s="39">
        <f>Eintrag!AF$4</f>
        <v>0</v>
      </c>
      <c r="F35" s="71" t="str">
        <f>Eintrag!AF$5</f>
        <v>-</v>
      </c>
      <c r="G35" s="70" t="str">
        <f>Eintrag!AF$8</f>
        <v xml:space="preserve"> </v>
      </c>
      <c r="H35" s="70">
        <f>Eintrag!AF$9</f>
        <v>0</v>
      </c>
      <c r="I35" s="71" t="str">
        <f>Eintrag!AF$6</f>
        <v>Wochend</v>
      </c>
      <c r="J35" s="80">
        <f>Eintrag!AF$7</f>
        <v>0</v>
      </c>
      <c r="K35" s="73">
        <f>Eintrag!AF$33-Eintrag!AF$34</f>
        <v>0</v>
      </c>
      <c r="L35" s="41"/>
    </row>
    <row r="36" spans="2:12" ht="18.600000000000001" customHeight="1" x14ac:dyDescent="0.2">
      <c r="B36" s="36" t="str">
        <f>Eintrag!AG1</f>
        <v>Mo</v>
      </c>
      <c r="C36" s="37" t="str">
        <f>Eintrag!AG$2</f>
        <v>30.</v>
      </c>
      <c r="D36" s="38">
        <f>Eintrag!AG$3</f>
        <v>0</v>
      </c>
      <c r="E36" s="39" t="str">
        <f>Eintrag!AG$4</f>
        <v>G</v>
      </c>
      <c r="F36" s="71" t="str">
        <f>Eintrag!AG$5</f>
        <v>Gleitzeit</v>
      </c>
      <c r="G36" s="70" t="str">
        <f>Eintrag!AG$8</f>
        <v>0:30</v>
      </c>
      <c r="H36" s="70">
        <f>Eintrag!AG$9</f>
        <v>0</v>
      </c>
      <c r="I36" s="71" t="str">
        <f>Eintrag!AG$6</f>
        <v>6:00</v>
      </c>
      <c r="J36" s="80">
        <f>Eintrag!AG$7</f>
        <v>6</v>
      </c>
      <c r="K36" s="73">
        <f>Eintrag!AG$33-Eintrag!AG$34</f>
        <v>-6</v>
      </c>
      <c r="L36" s="41"/>
    </row>
    <row r="37" spans="2:12" ht="18.600000000000001" customHeight="1" thickBot="1" x14ac:dyDescent="0.25">
      <c r="B37" s="42" t="str">
        <f>Eintrag!AH1</f>
        <v/>
      </c>
      <c r="C37" s="43" t="str">
        <f>Eintrag!AH$2</f>
        <v>31.</v>
      </c>
      <c r="D37" s="44">
        <f>Eintrag!AH$3</f>
        <v>0</v>
      </c>
      <c r="E37" s="45">
        <f>Eintrag!AH$4</f>
        <v>0</v>
      </c>
      <c r="F37" s="72" t="str">
        <f>Eintrag!AH$5</f>
        <v>-</v>
      </c>
      <c r="G37" s="77" t="str">
        <f>Eintrag!AH$8</f>
        <v/>
      </c>
      <c r="H37" s="72">
        <f>Eintrag!AH$9</f>
        <v>0</v>
      </c>
      <c r="I37" s="72" t="str">
        <f>Eintrag!AH$6</f>
        <v xml:space="preserve"> </v>
      </c>
      <c r="J37" s="81">
        <f>Eintrag!AH$7</f>
        <v>0</v>
      </c>
      <c r="K37" s="73">
        <f>Eintrag!AH$33-Eintrag!AH$34</f>
        <v>0</v>
      </c>
      <c r="L37" s="46"/>
    </row>
    <row r="38" spans="2:12" ht="17.25" thickBot="1" x14ac:dyDescent="0.25">
      <c r="B38" s="47"/>
      <c r="C38" s="47"/>
      <c r="D38" s="47"/>
      <c r="E38" s="47"/>
      <c r="F38" s="47"/>
      <c r="G38" s="78"/>
      <c r="I38" s="48" t="s">
        <v>57</v>
      </c>
      <c r="J38" s="29">
        <f>Eintrag!AJ28</f>
        <v>38.500000000000007</v>
      </c>
      <c r="K38" s="29">
        <f>Eintrag!AJ$37</f>
        <v>0.5</v>
      </c>
      <c r="L38" s="76" t="str">
        <f>Eintrag!AK$37</f>
        <v>Übertrag Folgemonat</v>
      </c>
    </row>
  </sheetData>
  <mergeCells count="1">
    <mergeCell ref="B2:D2"/>
  </mergeCells>
  <phoneticPr fontId="0" type="noConversion"/>
  <pageMargins left="0.42" right="0.28000000000000003" top="0.6" bottom="0.67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B73"/>
  <sheetViews>
    <sheetView workbookViewId="0">
      <selection activeCell="B57" sqref="B57"/>
    </sheetView>
  </sheetViews>
  <sheetFormatPr baseColWidth="10" defaultRowHeight="12.75" x14ac:dyDescent="0.2"/>
  <cols>
    <col min="1" max="1" width="27.140625" customWidth="1"/>
    <col min="2" max="2" width="28.28515625" customWidth="1"/>
  </cols>
  <sheetData>
    <row r="1" spans="1:2" x14ac:dyDescent="0.2">
      <c r="A1" t="s">
        <v>344</v>
      </c>
      <c r="B1" t="s">
        <v>337</v>
      </c>
    </row>
    <row r="2" spans="1:2" x14ac:dyDescent="0.2">
      <c r="A2" t="s">
        <v>345</v>
      </c>
      <c r="B2" t="s">
        <v>332</v>
      </c>
    </row>
    <row r="3" spans="1:2" x14ac:dyDescent="0.2">
      <c r="A3" t="s">
        <v>346</v>
      </c>
      <c r="B3" t="s">
        <v>88</v>
      </c>
    </row>
    <row r="4" spans="1:2" x14ac:dyDescent="0.2">
      <c r="A4" t="s">
        <v>87</v>
      </c>
      <c r="B4" t="s">
        <v>323</v>
      </c>
    </row>
    <row r="5" spans="1:2" x14ac:dyDescent="0.2">
      <c r="A5" t="s">
        <v>347</v>
      </c>
      <c r="B5" t="s">
        <v>309</v>
      </c>
    </row>
    <row r="6" spans="1:2" x14ac:dyDescent="0.2">
      <c r="A6" t="s">
        <v>348</v>
      </c>
      <c r="B6" t="s">
        <v>309</v>
      </c>
    </row>
    <row r="7" spans="1:2" x14ac:dyDescent="0.2">
      <c r="A7" t="s">
        <v>349</v>
      </c>
      <c r="B7" t="s">
        <v>315</v>
      </c>
    </row>
    <row r="8" spans="1:2" x14ac:dyDescent="0.2">
      <c r="A8" t="s">
        <v>350</v>
      </c>
      <c r="B8" t="s">
        <v>336</v>
      </c>
    </row>
    <row r="9" spans="1:2" x14ac:dyDescent="0.2">
      <c r="A9" t="s">
        <v>351</v>
      </c>
      <c r="B9" t="s">
        <v>309</v>
      </c>
    </row>
    <row r="10" spans="1:2" x14ac:dyDescent="0.2">
      <c r="A10" t="s">
        <v>89</v>
      </c>
      <c r="B10" t="s">
        <v>90</v>
      </c>
    </row>
    <row r="11" spans="1:2" x14ac:dyDescent="0.2">
      <c r="A11" t="s">
        <v>352</v>
      </c>
      <c r="B11" t="s">
        <v>309</v>
      </c>
    </row>
    <row r="12" spans="1:2" x14ac:dyDescent="0.2">
      <c r="A12" t="s">
        <v>91</v>
      </c>
      <c r="B12" t="s">
        <v>92</v>
      </c>
    </row>
    <row r="13" spans="1:2" x14ac:dyDescent="0.2">
      <c r="A13" t="s">
        <v>93</v>
      </c>
      <c r="B13" t="s">
        <v>94</v>
      </c>
    </row>
    <row r="14" spans="1:2" x14ac:dyDescent="0.2">
      <c r="A14" t="s">
        <v>353</v>
      </c>
      <c r="B14" t="s">
        <v>318</v>
      </c>
    </row>
    <row r="15" spans="1:2" x14ac:dyDescent="0.2">
      <c r="A15" t="s">
        <v>95</v>
      </c>
      <c r="B15" t="s">
        <v>96</v>
      </c>
    </row>
    <row r="16" spans="1:2" x14ac:dyDescent="0.2">
      <c r="A16" t="s">
        <v>354</v>
      </c>
      <c r="B16" t="s">
        <v>310</v>
      </c>
    </row>
    <row r="17" spans="1:2" x14ac:dyDescent="0.2">
      <c r="A17" t="s">
        <v>355</v>
      </c>
      <c r="B17" t="s">
        <v>324</v>
      </c>
    </row>
    <row r="18" spans="1:2" x14ac:dyDescent="0.2">
      <c r="A18" t="s">
        <v>356</v>
      </c>
      <c r="B18" t="s">
        <v>334</v>
      </c>
    </row>
    <row r="19" spans="1:2" x14ac:dyDescent="0.2">
      <c r="A19" t="s">
        <v>357</v>
      </c>
      <c r="B19" t="s">
        <v>97</v>
      </c>
    </row>
    <row r="20" spans="1:2" x14ac:dyDescent="0.2">
      <c r="A20" t="s">
        <v>358</v>
      </c>
      <c r="B20" t="s">
        <v>309</v>
      </c>
    </row>
    <row r="21" spans="1:2" x14ac:dyDescent="0.2">
      <c r="A21" t="s">
        <v>98</v>
      </c>
      <c r="B21" t="s">
        <v>99</v>
      </c>
    </row>
    <row r="22" spans="1:2" x14ac:dyDescent="0.2">
      <c r="A22" t="s">
        <v>100</v>
      </c>
      <c r="B22" t="s">
        <v>101</v>
      </c>
    </row>
    <row r="23" spans="1:2" x14ac:dyDescent="0.2">
      <c r="A23" t="s">
        <v>359</v>
      </c>
      <c r="B23" t="s">
        <v>331</v>
      </c>
    </row>
    <row r="24" spans="1:2" x14ac:dyDescent="0.2">
      <c r="A24" t="s">
        <v>360</v>
      </c>
      <c r="B24" t="s">
        <v>340</v>
      </c>
    </row>
    <row r="25" spans="1:2" x14ac:dyDescent="0.2">
      <c r="A25" t="s">
        <v>361</v>
      </c>
      <c r="B25" t="s">
        <v>311</v>
      </c>
    </row>
    <row r="26" spans="1:2" x14ac:dyDescent="0.2">
      <c r="A26" t="s">
        <v>362</v>
      </c>
      <c r="B26" t="s">
        <v>339</v>
      </c>
    </row>
    <row r="27" spans="1:2" x14ac:dyDescent="0.2">
      <c r="A27" t="s">
        <v>363</v>
      </c>
      <c r="B27" t="s">
        <v>312</v>
      </c>
    </row>
    <row r="28" spans="1:2" x14ac:dyDescent="0.2">
      <c r="A28" t="s">
        <v>102</v>
      </c>
      <c r="B28" t="s">
        <v>103</v>
      </c>
    </row>
    <row r="29" spans="1:2" x14ac:dyDescent="0.2">
      <c r="A29" t="s">
        <v>364</v>
      </c>
      <c r="B29" t="s">
        <v>339</v>
      </c>
    </row>
    <row r="30" spans="1:2" x14ac:dyDescent="0.2">
      <c r="A30" t="s">
        <v>104</v>
      </c>
      <c r="B30" t="s">
        <v>105</v>
      </c>
    </row>
    <row r="31" spans="1:2" x14ac:dyDescent="0.2">
      <c r="A31" t="s">
        <v>365</v>
      </c>
      <c r="B31" t="s">
        <v>309</v>
      </c>
    </row>
    <row r="32" spans="1:2" x14ac:dyDescent="0.2">
      <c r="A32" t="s">
        <v>366</v>
      </c>
      <c r="B32" t="s">
        <v>322</v>
      </c>
    </row>
    <row r="33" spans="1:2" x14ac:dyDescent="0.2">
      <c r="A33" t="s">
        <v>367</v>
      </c>
      <c r="B33" t="s">
        <v>106</v>
      </c>
    </row>
    <row r="34" spans="1:2" x14ac:dyDescent="0.2">
      <c r="A34" t="s">
        <v>107</v>
      </c>
      <c r="B34" t="s">
        <v>108</v>
      </c>
    </row>
    <row r="35" spans="1:2" x14ac:dyDescent="0.2">
      <c r="A35" t="s">
        <v>368</v>
      </c>
      <c r="B35" t="s">
        <v>313</v>
      </c>
    </row>
    <row r="36" spans="1:2" x14ac:dyDescent="0.2">
      <c r="A36" t="s">
        <v>369</v>
      </c>
      <c r="B36" t="s">
        <v>314</v>
      </c>
    </row>
    <row r="37" spans="1:2" x14ac:dyDescent="0.2">
      <c r="A37" t="s">
        <v>370</v>
      </c>
      <c r="B37" t="s">
        <v>333</v>
      </c>
    </row>
    <row r="38" spans="1:2" x14ac:dyDescent="0.2">
      <c r="A38" t="s">
        <v>371</v>
      </c>
      <c r="B38" t="s">
        <v>309</v>
      </c>
    </row>
    <row r="39" spans="1:2" x14ac:dyDescent="0.2">
      <c r="A39" t="s">
        <v>372</v>
      </c>
      <c r="B39" t="s">
        <v>320</v>
      </c>
    </row>
    <row r="40" spans="1:2" x14ac:dyDescent="0.2">
      <c r="A40" t="s">
        <v>109</v>
      </c>
      <c r="B40" t="s">
        <v>110</v>
      </c>
    </row>
    <row r="41" spans="1:2" x14ac:dyDescent="0.2">
      <c r="A41" t="s">
        <v>373</v>
      </c>
      <c r="B41" t="s">
        <v>335</v>
      </c>
    </row>
    <row r="42" spans="1:2" x14ac:dyDescent="0.2">
      <c r="A42" t="s">
        <v>374</v>
      </c>
      <c r="B42" t="s">
        <v>326</v>
      </c>
    </row>
    <row r="43" spans="1:2" x14ac:dyDescent="0.2">
      <c r="A43" t="s">
        <v>111</v>
      </c>
      <c r="B43" t="s">
        <v>112</v>
      </c>
    </row>
    <row r="44" spans="1:2" x14ac:dyDescent="0.2">
      <c r="A44" t="s">
        <v>375</v>
      </c>
      <c r="B44" t="s">
        <v>317</v>
      </c>
    </row>
    <row r="45" spans="1:2" x14ac:dyDescent="0.2">
      <c r="A45" t="s">
        <v>376</v>
      </c>
      <c r="B45" t="s">
        <v>309</v>
      </c>
    </row>
    <row r="46" spans="1:2" x14ac:dyDescent="0.2">
      <c r="A46" t="s">
        <v>113</v>
      </c>
      <c r="B46" t="s">
        <v>309</v>
      </c>
    </row>
    <row r="47" spans="1:2" x14ac:dyDescent="0.2">
      <c r="A47" t="s">
        <v>377</v>
      </c>
      <c r="B47" t="s">
        <v>325</v>
      </c>
    </row>
    <row r="48" spans="1:2" x14ac:dyDescent="0.2">
      <c r="A48" t="s">
        <v>114</v>
      </c>
      <c r="B48" t="s">
        <v>115</v>
      </c>
    </row>
    <row r="49" spans="1:2" x14ac:dyDescent="0.2">
      <c r="A49" t="s">
        <v>116</v>
      </c>
      <c r="B49" t="s">
        <v>309</v>
      </c>
    </row>
    <row r="50" spans="1:2" x14ac:dyDescent="0.2">
      <c r="A50" t="s">
        <v>378</v>
      </c>
      <c r="B50" t="s">
        <v>309</v>
      </c>
    </row>
    <row r="51" spans="1:2" x14ac:dyDescent="0.2">
      <c r="A51" t="s">
        <v>117</v>
      </c>
      <c r="B51" t="s">
        <v>118</v>
      </c>
    </row>
    <row r="52" spans="1:2" x14ac:dyDescent="0.2">
      <c r="A52" t="s">
        <v>119</v>
      </c>
      <c r="B52" t="s">
        <v>120</v>
      </c>
    </row>
    <row r="53" spans="1:2" x14ac:dyDescent="0.2">
      <c r="A53" t="s">
        <v>121</v>
      </c>
      <c r="B53" t="s">
        <v>122</v>
      </c>
    </row>
    <row r="54" spans="1:2" x14ac:dyDescent="0.2">
      <c r="A54" t="s">
        <v>379</v>
      </c>
      <c r="B54" t="s">
        <v>342</v>
      </c>
    </row>
    <row r="55" spans="1:2" x14ac:dyDescent="0.2">
      <c r="A55" t="s">
        <v>436</v>
      </c>
      <c r="B55" t="s">
        <v>437</v>
      </c>
    </row>
    <row r="56" spans="1:2" x14ac:dyDescent="0.2">
      <c r="A56" t="s">
        <v>380</v>
      </c>
      <c r="B56" t="s">
        <v>330</v>
      </c>
    </row>
    <row r="57" spans="1:2" x14ac:dyDescent="0.2">
      <c r="A57" t="s">
        <v>123</v>
      </c>
      <c r="B57" t="s">
        <v>124</v>
      </c>
    </row>
    <row r="58" spans="1:2" x14ac:dyDescent="0.2">
      <c r="A58" t="s">
        <v>125</v>
      </c>
      <c r="B58" t="s">
        <v>126</v>
      </c>
    </row>
    <row r="59" spans="1:2" x14ac:dyDescent="0.2">
      <c r="A59" t="s">
        <v>381</v>
      </c>
      <c r="B59" t="s">
        <v>309</v>
      </c>
    </row>
    <row r="60" spans="1:2" x14ac:dyDescent="0.2">
      <c r="A60" t="s">
        <v>382</v>
      </c>
      <c r="B60" t="s">
        <v>327</v>
      </c>
    </row>
    <row r="61" spans="1:2" x14ac:dyDescent="0.2">
      <c r="A61" t="s">
        <v>127</v>
      </c>
      <c r="B61" t="s">
        <v>128</v>
      </c>
    </row>
    <row r="62" spans="1:2" x14ac:dyDescent="0.2">
      <c r="A62" t="s">
        <v>383</v>
      </c>
      <c r="B62" t="s">
        <v>321</v>
      </c>
    </row>
    <row r="63" spans="1:2" x14ac:dyDescent="0.2">
      <c r="A63" t="s">
        <v>384</v>
      </c>
      <c r="B63" t="s">
        <v>338</v>
      </c>
    </row>
    <row r="64" spans="1:2" x14ac:dyDescent="0.2">
      <c r="A64" t="s">
        <v>129</v>
      </c>
      <c r="B64" t="s">
        <v>130</v>
      </c>
    </row>
    <row r="65" spans="1:2" x14ac:dyDescent="0.2">
      <c r="A65" t="s">
        <v>131</v>
      </c>
      <c r="B65" t="s">
        <v>132</v>
      </c>
    </row>
    <row r="66" spans="1:2" x14ac:dyDescent="0.2">
      <c r="A66" t="s">
        <v>385</v>
      </c>
    </row>
    <row r="67" spans="1:2" x14ac:dyDescent="0.2">
      <c r="A67" t="s">
        <v>386</v>
      </c>
      <c r="B67" t="s">
        <v>316</v>
      </c>
    </row>
    <row r="68" spans="1:2" x14ac:dyDescent="0.2">
      <c r="A68" t="s">
        <v>387</v>
      </c>
      <c r="B68" t="s">
        <v>343</v>
      </c>
    </row>
    <row r="69" spans="1:2" x14ac:dyDescent="0.2">
      <c r="A69" t="s">
        <v>388</v>
      </c>
      <c r="B69" t="s">
        <v>319</v>
      </c>
    </row>
    <row r="70" spans="1:2" x14ac:dyDescent="0.2">
      <c r="A70" t="s">
        <v>133</v>
      </c>
      <c r="B70" t="s">
        <v>134</v>
      </c>
    </row>
    <row r="71" spans="1:2" x14ac:dyDescent="0.2">
      <c r="A71" t="s">
        <v>389</v>
      </c>
      <c r="B71" t="s">
        <v>328</v>
      </c>
    </row>
    <row r="72" spans="1:2" x14ac:dyDescent="0.2">
      <c r="A72" t="s">
        <v>390</v>
      </c>
      <c r="B72" t="s">
        <v>341</v>
      </c>
    </row>
    <row r="73" spans="1:2" x14ac:dyDescent="0.2">
      <c r="A73" t="s">
        <v>391</v>
      </c>
      <c r="B73" t="s">
        <v>329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2:A540"/>
  <sheetViews>
    <sheetView zoomScale="110" zoomScaleNormal="110" workbookViewId="0">
      <selection activeCell="A20" sqref="A20"/>
    </sheetView>
  </sheetViews>
  <sheetFormatPr baseColWidth="10" defaultRowHeight="12.75" x14ac:dyDescent="0.2"/>
  <cols>
    <col min="1" max="1" width="54.42578125" customWidth="1"/>
    <col min="2" max="2" width="50.5703125" customWidth="1"/>
  </cols>
  <sheetData>
    <row r="2" spans="1:1" x14ac:dyDescent="0.2">
      <c r="A2" s="152" t="s">
        <v>180</v>
      </c>
    </row>
    <row r="3" spans="1:1" x14ac:dyDescent="0.2">
      <c r="A3" s="120" t="s">
        <v>150</v>
      </c>
    </row>
    <row r="4" spans="1:1" x14ac:dyDescent="0.2">
      <c r="A4" s="120" t="s">
        <v>149</v>
      </c>
    </row>
    <row r="5" spans="1:1" x14ac:dyDescent="0.2">
      <c r="A5" s="120" t="s">
        <v>151</v>
      </c>
    </row>
    <row r="6" spans="1:1" x14ac:dyDescent="0.2">
      <c r="A6" s="120" t="s">
        <v>152</v>
      </c>
    </row>
    <row r="7" spans="1:1" x14ac:dyDescent="0.2">
      <c r="A7" s="120" t="s">
        <v>153</v>
      </c>
    </row>
    <row r="8" spans="1:1" x14ac:dyDescent="0.2">
      <c r="A8" s="120" t="s">
        <v>154</v>
      </c>
    </row>
    <row r="9" spans="1:1" x14ac:dyDescent="0.2">
      <c r="A9" s="120" t="s">
        <v>155</v>
      </c>
    </row>
    <row r="10" spans="1:1" x14ac:dyDescent="0.2">
      <c r="A10" s="120" t="s">
        <v>156</v>
      </c>
    </row>
    <row r="11" spans="1:1" x14ac:dyDescent="0.2">
      <c r="A11" s="120" t="s">
        <v>157</v>
      </c>
    </row>
    <row r="12" spans="1:1" x14ac:dyDescent="0.2">
      <c r="A12" s="120" t="s">
        <v>158</v>
      </c>
    </row>
    <row r="13" spans="1:1" x14ac:dyDescent="0.2">
      <c r="A13" s="120" t="s">
        <v>159</v>
      </c>
    </row>
    <row r="14" spans="1:1" x14ac:dyDescent="0.2">
      <c r="A14" s="120" t="s">
        <v>160</v>
      </c>
    </row>
    <row r="15" spans="1:1" x14ac:dyDescent="0.2">
      <c r="A15" s="120"/>
    </row>
    <row r="61" spans="1:1" x14ac:dyDescent="0.2">
      <c r="A61" s="130" t="s">
        <v>81</v>
      </c>
    </row>
    <row r="80" spans="1:1" x14ac:dyDescent="0.2">
      <c r="A80" s="130" t="s">
        <v>135</v>
      </c>
    </row>
    <row r="115" spans="1:1" x14ac:dyDescent="0.2">
      <c r="A115" s="128" t="s">
        <v>76</v>
      </c>
    </row>
    <row r="140" spans="1:1" x14ac:dyDescent="0.2">
      <c r="A140" s="131" t="s">
        <v>136</v>
      </c>
    </row>
    <row r="156" spans="1:1" x14ac:dyDescent="0.2">
      <c r="A156" s="131" t="s">
        <v>137</v>
      </c>
    </row>
    <row r="172" spans="1:1" x14ac:dyDescent="0.2">
      <c r="A172" s="130" t="s">
        <v>138</v>
      </c>
    </row>
    <row r="188" spans="1:1" x14ac:dyDescent="0.2">
      <c r="A188" s="131" t="s">
        <v>139</v>
      </c>
    </row>
    <row r="204" spans="1:1" x14ac:dyDescent="0.2">
      <c r="A204" s="138" t="s">
        <v>140</v>
      </c>
    </row>
    <row r="220" spans="1:1" x14ac:dyDescent="0.2">
      <c r="A220" s="132" t="s">
        <v>80</v>
      </c>
    </row>
    <row r="236" spans="1:1" x14ac:dyDescent="0.2">
      <c r="A236" s="128" t="s">
        <v>79</v>
      </c>
    </row>
    <row r="252" spans="1:1" x14ac:dyDescent="0.2">
      <c r="A252" s="128" t="s">
        <v>78</v>
      </c>
    </row>
    <row r="268" spans="1:1" x14ac:dyDescent="0.2">
      <c r="A268" s="128" t="s">
        <v>77</v>
      </c>
    </row>
    <row r="284" spans="1:1" ht="15.75" customHeight="1" x14ac:dyDescent="0.2">
      <c r="A284" s="133" t="s">
        <v>86</v>
      </c>
    </row>
    <row r="300" spans="1:1" ht="12.75" customHeight="1" x14ac:dyDescent="0.2">
      <c r="A300" s="134" t="s">
        <v>141</v>
      </c>
    </row>
    <row r="316" spans="1:1" ht="12.75" customHeight="1" x14ac:dyDescent="0.2">
      <c r="A316" s="134" t="s">
        <v>75</v>
      </c>
    </row>
    <row r="332" spans="1:1" ht="12.75" customHeight="1" x14ac:dyDescent="0.2">
      <c r="A332" s="134" t="s">
        <v>74</v>
      </c>
    </row>
    <row r="348" spans="1:1" ht="12.75" customHeight="1" x14ac:dyDescent="0.2">
      <c r="A348" s="134" t="s">
        <v>73</v>
      </c>
    </row>
    <row r="364" spans="1:1" ht="12.75" customHeight="1" x14ac:dyDescent="0.2">
      <c r="A364" s="134" t="s">
        <v>72</v>
      </c>
    </row>
    <row r="380" spans="1:1" ht="15" customHeight="1" x14ac:dyDescent="0.2">
      <c r="A380" s="134" t="s">
        <v>71</v>
      </c>
    </row>
    <row r="385" spans="1:1" x14ac:dyDescent="0.2">
      <c r="A385" s="128" t="s">
        <v>142</v>
      </c>
    </row>
    <row r="390" spans="1:1" x14ac:dyDescent="0.2">
      <c r="A390" s="135" t="s">
        <v>143</v>
      </c>
    </row>
    <row r="395" spans="1:1" x14ac:dyDescent="0.2">
      <c r="A395" s="123" t="s">
        <v>144</v>
      </c>
    </row>
    <row r="400" spans="1:1" x14ac:dyDescent="0.2">
      <c r="A400" s="123" t="s">
        <v>145</v>
      </c>
    </row>
    <row r="405" spans="1:1" x14ac:dyDescent="0.2">
      <c r="A405" s="137" t="s">
        <v>146</v>
      </c>
    </row>
    <row r="410" spans="1:1" ht="12.75" customHeight="1" x14ac:dyDescent="0.2">
      <c r="A410" s="141" t="s">
        <v>147</v>
      </c>
    </row>
    <row r="425" spans="1:1" ht="12.75" customHeight="1" x14ac:dyDescent="0.2">
      <c r="A425" s="136" t="s">
        <v>148</v>
      </c>
    </row>
    <row r="540" spans="1:1" x14ac:dyDescent="0.2">
      <c r="A540" s="129" t="s">
        <v>82</v>
      </c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1AF21D-7C9E-46BE-A157-D7D9AA27CE6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</vt:i4>
      </vt:variant>
    </vt:vector>
  </HeadingPairs>
  <TitlesOfParts>
    <vt:vector size="7" baseType="lpstr">
      <vt:lpstr>Eintrag</vt:lpstr>
      <vt:lpstr>ProjekteAP</vt:lpstr>
      <vt:lpstr>Ausdruck (Zeit)</vt:lpstr>
      <vt:lpstr>Mitarbeiter</vt:lpstr>
      <vt:lpstr>Monate</vt:lpstr>
      <vt:lpstr>'Ausdruck (Zeit)'!Druckbereich</vt:lpstr>
      <vt:lpstr>Monate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Berwanger</dc:creator>
  <cp:lastModifiedBy>Nething, Nicoleta</cp:lastModifiedBy>
  <cp:lastPrinted>2014-05-09T09:46:17Z</cp:lastPrinted>
  <dcterms:created xsi:type="dcterms:W3CDTF">1998-01-19T07:10:41Z</dcterms:created>
  <dcterms:modified xsi:type="dcterms:W3CDTF">2018-04-17T05:53:38Z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3825294b-21fd-46d1-a2cb-566a85f27347</vt:lpwstr>
  </property>
</Properties>
</file>